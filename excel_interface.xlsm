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Kimberly Zhang\Documents\Market_Blotter\"/>
    </mc:Choice>
  </mc:AlternateContent>
  <xr:revisionPtr revIDLastSave="0" documentId="13_ncr:1_{D2620A69-7686-4197-B166-3CC365FFEF64}" xr6:coauthVersionLast="47" xr6:coauthVersionMax="47" xr10:uidLastSave="{00000000-0000-0000-0000-000000000000}"/>
  <bookViews>
    <workbookView xWindow="-108" yWindow="-108" windowWidth="23256" windowHeight="12576" xr2:uid="{970416E9-56B8-4980-9AB3-C3E5A2F1DD1C}"/>
  </bookViews>
  <sheets>
    <sheet name="Control" sheetId="9" r:id="rId1"/>
    <sheet name="Summary" sheetId="1" r:id="rId2"/>
    <sheet name="Flash" sheetId="8" r:id="rId3"/>
    <sheet name="Past_Transactions" sheetId="10" r:id="rId4"/>
    <sheet name="Open_Transactions" sheetId="3" r:id="rId5"/>
    <sheet name="Insert_Update" sheetId="4" r:id="rId6"/>
    <sheet name="Delete" sheetId="7" r:id="rId7"/>
    <sheet name="Chart" sheetId="5" r:id="rId8"/>
  </sheet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1" l="1" a="1"/>
  <c r="B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6F41B9-9FDE-4032-B805-E393F0FD0ACB}" keepAlive="1" name="Query - transactions" description="Connection to the 'transactions' query in the workbook." type="5" refreshedVersion="6" background="1" saveData="1">
    <dbPr connection="Provider=Microsoft.Mashup.OleDb.1;Data Source=$Workbook$;Location=transactions;Extended Properties=&quot;&quot;" command="SELECT * FROM [transaction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<sst xmlns="http://schemas.openxmlformats.org/spreadsheetml/2006/main" count="82" uniqueCount="39">
  <si>
    <t>start_date</t>
  </si>
  <si>
    <t>ticker</t>
  </si>
  <si>
    <t>start_price</t>
  </si>
  <si>
    <t>current_price</t>
  </si>
  <si>
    <t>delta</t>
  </si>
  <si>
    <t>expiry</t>
  </si>
  <si>
    <t>strike</t>
  </si>
  <si>
    <t>c/p</t>
  </si>
  <si>
    <t>position</t>
  </si>
  <si>
    <t>gamma</t>
  </si>
  <si>
    <t>vega</t>
  </si>
  <si>
    <t>theta</t>
  </si>
  <si>
    <t>implied_vol</t>
  </si>
  <si>
    <t>Risk-free rate</t>
  </si>
  <si>
    <t>price_change</t>
  </si>
  <si>
    <t>vol_pct_chg</t>
  </si>
  <si>
    <t>type</t>
  </si>
  <si>
    <t>delta_live</t>
  </si>
  <si>
    <t>gamma_delivery</t>
  </si>
  <si>
    <t>vega_flash</t>
  </si>
  <si>
    <t>total_flash</t>
  </si>
  <si>
    <t>XAUUSD</t>
  </si>
  <si>
    <t>AUDJPY</t>
  </si>
  <si>
    <t>close_price</t>
  </si>
  <si>
    <t>close_date</t>
  </si>
  <si>
    <t>pnl</t>
  </si>
  <si>
    <t>IWM</t>
  </si>
  <si>
    <t>p</t>
  </si>
  <si>
    <t>delta_flash</t>
  </si>
  <si>
    <t>CADJPY</t>
  </si>
  <si>
    <t>USDCAD</t>
  </si>
  <si>
    <t>close_position</t>
  </si>
  <si>
    <t>EURRUB</t>
  </si>
  <si>
    <t>EURGBP</t>
  </si>
  <si>
    <t>c</t>
  </si>
  <si>
    <t>theta_flash</t>
  </si>
  <si>
    <t>EEM</t>
  </si>
  <si>
    <t>Date to Query</t>
  </si>
  <si>
    <t>Ticker to Query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</si>
</sst>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Red]\(0.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2">
    <xf numFmtId="0" fontId="0" fillId="0" borderId="0" xfId="0"/>
    <xf numFmtId="2" fontId="0" fillId="0" borderId="0" xfId="0" applyNumberFormat="1"/>
    <xf numFmtId="14" fontId="0" fillId="0" borderId="0" xfId="0" applyNumberFormat="1"/>
    <xf numFmtId="49" fontId="0" fillId="0" borderId="0" xfId="0" applyNumberFormat="1"/>
    <xf numFmtId="0" fontId="0" fillId="0" borderId="0" xfId="0" applyNumberFormat="1"/>
    <xf numFmtId="0" fontId="1" fillId="0" borderId="0" xfId="0" applyNumberFormat="1" applyFont="1"/>
    <xf numFmtId="0" fontId="0" fillId="0" borderId="0" xfId="0" applyAlignment="1">
      <alignment wrapText="1"/>
    </xf>
    <xf numFmtId="0" fontId="1" fillId="0" borderId="0" xfId="0" applyFont="1" applyAlignment="1">
      <alignment horizontal="center"/>
    </xf>
    <xf numFmtId="2" fontId="1" fillId="0" borderId="0" xfId="0" applyNumberFormat="1" applyFont="1" applyAlignment="1">
      <alignment horizontal="center"/>
    </xf>
    <xf numFmtId="14" fontId="1" fillId="0" borderId="0" xfId="0" applyNumberFormat="1" applyFont="1" applyAlignment="1">
      <alignment horizontal="center"/>
    </xf>
    <xf numFmtId="49" fontId="1" fillId="0" borderId="0" xfId="0" applyNumberFormat="1" applyFont="1" applyAlignment="1">
      <alignment horizontal="center"/>
    </xf>
    <xf numFmtId="0" fontId="1" fillId="0" borderId="0" xfId="0" applyFont="1" applyAlignment="1">
      <alignment horizontal="center"/>
    </xf>
    <xf numFmtId="0" fontId="1" fillId="0" borderId="0" xfId="0" applyFont="1"/>
    <xf numFmtId="40" fontId="1" fillId="0" borderId="0" xfId="0" applyNumberFormat="1" applyFont="1" applyAlignment="1">
      <alignment horizontal="center"/>
    </xf>
    <xf numFmtId="40" fontId="0" fillId="0" borderId="0" xfId="0" applyNumberFormat="1"/>
    <xf numFmtId="38" fontId="1" fillId="0" borderId="0" xfId="0" applyNumberFormat="1" applyFont="1" applyAlignment="1">
      <alignment horizontal="center"/>
    </xf>
    <xf numFmtId="38" fontId="0" fillId="0" borderId="0" xfId="0" applyNumberFormat="1"/>
    <xf numFmtId="40" fontId="0" fillId="0" borderId="0" xfId="0" applyNumberFormat="1" applyAlignment="1">
      <alignment wrapText="1"/>
    </xf>
    <xf numFmtId="164" fontId="1" fillId="0" borderId="0" xfId="0" applyNumberFormat="1" applyFont="1" applyAlignment="1">
      <alignment horizontal="center"/>
    </xf>
    <xf numFmtId="164" fontId="0" fillId="0" borderId="0" xfId="0" applyNumberFormat="1"/>
    <xf numFmtId="0" fontId="0" fillId="0" borderId="0" xfId="0" applyAlignment="1"/>
    <xf numFmtId="0" fontId="0" fillId="0" borderId="0" xfId="0" applyBorder="1"/>
    <xf numFmtId="38" fontId="0" fillId="0" borderId="0" xfId="0" applyNumberFormat="1" applyBorder="1"/>
    <xf numFmtId="0" fontId="1" fillId="0" borderId="5" xfId="0" applyFont="1" applyBorder="1" applyAlignment="1">
      <alignment horizontal="center"/>
    </xf>
    <xf numFmtId="0" fontId="1" fillId="0" borderId="6" xfId="0" applyFont="1" applyBorder="1" applyAlignment="1">
      <alignment horizontal="center"/>
    </xf>
    <xf numFmtId="0" fontId="1" fillId="0" borderId="0" xfId="0" applyFont="1" applyBorder="1" applyAlignment="1">
      <alignment horizontal="center"/>
    </xf>
    <xf numFmtId="0" fontId="0" fillId="0" borderId="4" xfId="0" applyBorder="1" applyAlignment="1">
      <alignment horizontal="center"/>
    </xf>
    <xf numFmtId="14" fontId="0" fillId="0" borderId="4" xfId="0" applyNumberFormat="1" applyBorder="1" applyAlignment="1">
      <alignment horizontal="center" vertical="center"/>
    </xf>
    <xf numFmtId="0" fontId="1" fillId="0" borderId="1" xfId="0" applyFont="1" applyBorder="1" applyAlignment="1">
      <alignment horizontal="center"/>
    </xf>
    <xf numFmtId="38" fontId="1" fillId="0" borderId="2" xfId="0" applyNumberFormat="1" applyFont="1" applyBorder="1" applyAlignment="1">
      <alignment horizontal="center"/>
    </xf>
    <xf numFmtId="38" fontId="1" fillId="0" borderId="3" xfId="0" applyNumberFormat="1" applyFont="1" applyBorder="1" applyAlignment="1">
      <alignment horizontal="center"/>
    </xf>
    <xf numFmtId="38" fontId="1" fillId="0" borderId="0" xfId="0" applyNumberFormat="1" applyFont="1" applyBorder="1" applyAlignment="1">
      <alignment horizontal="center"/>
    </xf>
  </cellXfs>
  <cellStyles count="1">
    <cellStyle name="Normal" xfId="0" builtinId="0"/>
  </cellStyles>
  <dxfs count="0"/>
  <tableStyles count="0" defaultTableStyle="TableStyleMedium2" defaultPivotStyle="PivotStyleLight16"/>
  <colors>
    <mruColors>
      <color rgb="FFD5BE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1.49</v>
        <stp/>
        <stp>##V3_BDPV12</stp>
        <stp>usswap10Y curncy</stp>
        <stp>px_close_1d</stp>
        <stp>[excel_interface.xlsm]Summary!R1C2</stp>
        <tr r="B1"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6</xdr:row>
      <xdr:rowOff>15240</xdr:rowOff>
    </xdr:from>
    <xdr:to>
      <xdr:col>3</xdr:col>
      <xdr:colOff>7620</xdr:colOff>
      <xdr:row>9</xdr:row>
      <xdr:rowOff>0</xdr:rowOff>
    </xdr:to>
    <xdr:sp macro="[0]!RetrieveRisk" textlink="">
      <xdr:nvSpPr>
        <xdr:cNvPr id="2" name="Rectangle: Single Corner Snipped 1">
          <a:extLst>
            <a:ext uri="{FF2B5EF4-FFF2-40B4-BE49-F238E27FC236}">
              <a16:creationId xmlns:a16="http://schemas.microsoft.com/office/drawing/2014/main" id="{00000000-0008-0000-0000-000002000000}"/>
            </a:ext>
          </a:extLst>
        </xdr:cNvPr>
        <xdr:cNvSpPr/>
      </xdr:nvSpPr>
      <xdr:spPr>
        <a:xfrm>
          <a:off x="609600" y="381000"/>
          <a:ext cx="1226820" cy="533400"/>
        </a:xfrm>
        <a:prstGeom prst="snip1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ctr"/>
          <a:r>
            <a:rPr lang="en-US" sz="1100"/>
            <a:t>Calculate</a:t>
          </a:r>
          <a:r>
            <a:rPr lang="en-US" sz="1100" baseline="0"/>
            <a:t> Risks</a:t>
          </a:r>
        </a:p>
        <a:p>
          <a:pPr algn="l"/>
          <a:endParaRPr lang="en-US" sz="1100"/>
        </a:p>
      </xdr:txBody>
    </xdr:sp>
    <xdr:clientData/>
  </xdr:twoCellAnchor>
  <xdr:twoCellAnchor>
    <xdr:from>
      <xdr:col>0</xdr:col>
      <xdr:colOff>601980</xdr:colOff>
      <xdr:row>12</xdr:row>
      <xdr:rowOff>175260</xdr:rowOff>
    </xdr:from>
    <xdr:to>
      <xdr:col>3</xdr:col>
      <xdr:colOff>7620</xdr:colOff>
      <xdr:row>15</xdr:row>
      <xdr:rowOff>167640</xdr:rowOff>
    </xdr:to>
    <xdr:sp macro="[0]!CalcFlash" textlink="">
      <xdr:nvSpPr>
        <xdr:cNvPr id="7" name="Rectangle: Single Corner Snipped 6">
          <a:extLst>
            <a:ext uri="{FF2B5EF4-FFF2-40B4-BE49-F238E27FC236}">
              <a16:creationId xmlns:a16="http://schemas.microsoft.com/office/drawing/2014/main" id="{00000000-0008-0000-0000-000007000000}"/>
            </a:ext>
          </a:extLst>
        </xdr:cNvPr>
        <xdr:cNvSpPr/>
      </xdr:nvSpPr>
      <xdr:spPr>
        <a:xfrm>
          <a:off x="601980" y="1638300"/>
          <a:ext cx="1234440" cy="541020"/>
        </a:xfrm>
        <a:prstGeom prst="snip1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ctr"/>
          <a:r>
            <a:rPr lang="en-US" sz="1100"/>
            <a:t>Calculate</a:t>
          </a:r>
          <a:r>
            <a:rPr lang="en-US" sz="1100" baseline="0"/>
            <a:t> Flash</a:t>
          </a:r>
        </a:p>
        <a:p>
          <a:pPr algn="l"/>
          <a:endParaRPr lang="en-US" sz="1100"/>
        </a:p>
      </xdr:txBody>
    </xdr:sp>
    <xdr:clientData/>
  </xdr:twoCellAnchor>
  <xdr:twoCellAnchor>
    <xdr:from>
      <xdr:col>4</xdr:col>
      <xdr:colOff>601980</xdr:colOff>
      <xdr:row>4</xdr:row>
      <xdr:rowOff>175260</xdr:rowOff>
    </xdr:from>
    <xdr:to>
      <xdr:col>13</xdr:col>
      <xdr:colOff>0</xdr:colOff>
      <xdr:row>11</xdr:row>
      <xdr:rowOff>7620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040380" y="175260"/>
          <a:ext cx="4884420" cy="1112520"/>
        </a:xfrm>
        <a:prstGeom prst="rect">
          <a:avLst/>
        </a:prstGeom>
        <a:solidFill>
          <a:schemeClr val="accent5">
            <a:lumMod val="20000"/>
            <a:lumOff val="80000"/>
          </a:schemeClr>
        </a:solidFill>
        <a:ln w="9525" cmpd="sng">
          <a:solidFill>
            <a:schemeClr val="tx2">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cap="none" spc="0">
              <a:ln w="0"/>
              <a:solidFill>
                <a:schemeClr val="accent1"/>
              </a:solidFill>
              <a:effectLst>
                <a:outerShdw blurRad="38100" dist="25400" dir="5400000" algn="ctr" rotWithShape="0">
                  <a:srgbClr val="6E747A">
                    <a:alpha val="43000"/>
                  </a:srgbClr>
                </a:outerShdw>
              </a:effectLst>
            </a:rPr>
            <a:t>Summary</a:t>
          </a:r>
          <a:r>
            <a:rPr lang="en-US" sz="1100" b="0" cap="none" spc="0" baseline="0">
              <a:ln w="0"/>
              <a:solidFill>
                <a:schemeClr val="accent1"/>
              </a:solidFill>
              <a:effectLst>
                <a:outerShdw blurRad="38100" dist="25400" dir="5400000" algn="ctr" rotWithShape="0">
                  <a:srgbClr val="6E747A">
                    <a:alpha val="43000"/>
                  </a:srgbClr>
                </a:outerShdw>
              </a:effectLst>
            </a:rPr>
            <a:t> Tab: </a:t>
          </a:r>
        </a:p>
        <a:p>
          <a:r>
            <a:rPr lang="en-US" sz="1100"/>
            <a:t>The summary</a:t>
          </a:r>
          <a:r>
            <a:rPr lang="en-US" sz="1100" baseline="0"/>
            <a:t> tab shows the market risks for all open transactions. Hitting the "Calculate Risks" button to the left will trigger the run. Note you must be logged into Bloomberg for this feature to work. </a:t>
          </a:r>
          <a:endParaRPr lang="en-US" sz="1100"/>
        </a:p>
      </xdr:txBody>
    </xdr:sp>
    <xdr:clientData/>
  </xdr:twoCellAnchor>
  <xdr:twoCellAnchor>
    <xdr:from>
      <xdr:col>4</xdr:col>
      <xdr:colOff>601980</xdr:colOff>
      <xdr:row>11</xdr:row>
      <xdr:rowOff>167640</xdr:rowOff>
    </xdr:from>
    <xdr:to>
      <xdr:col>12</xdr:col>
      <xdr:colOff>601980</xdr:colOff>
      <xdr:row>18</xdr:row>
      <xdr:rowOff>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040380" y="1447800"/>
          <a:ext cx="4876800" cy="111252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cap="none" spc="0">
              <a:ln w="0"/>
              <a:solidFill>
                <a:schemeClr val="accent1"/>
              </a:solidFill>
              <a:effectLst>
                <a:outerShdw blurRad="38100" dist="25400" dir="5400000" algn="ctr" rotWithShape="0">
                  <a:srgbClr val="6E747A">
                    <a:alpha val="43000"/>
                  </a:srgbClr>
                </a:outerShdw>
              </a:effectLst>
            </a:rPr>
            <a:t>Flash Tab: </a:t>
          </a:r>
        </a:p>
        <a:p>
          <a:r>
            <a:rPr lang="en-US" sz="1100"/>
            <a:t>The</a:t>
          </a:r>
          <a:r>
            <a:rPr lang="en-US" sz="1100" baseline="0"/>
            <a:t> flash tab aggregates the market risks for each trade asset and shows the estimated daily PnL from holding the positions. Hitting the "Calculate Flash" button will trigger the run. Go to the worksheet to sense check the results and hit the "Insert Snap" button to save the flash to Mongo. </a:t>
          </a:r>
          <a:endParaRPr lang="en-US" sz="1100"/>
        </a:p>
      </xdr:txBody>
    </xdr:sp>
    <xdr:clientData/>
  </xdr:twoCellAnchor>
  <xdr:twoCellAnchor>
    <xdr:from>
      <xdr:col>5</xdr:col>
      <xdr:colOff>7620</xdr:colOff>
      <xdr:row>19</xdr:row>
      <xdr:rowOff>15240</xdr:rowOff>
    </xdr:from>
    <xdr:to>
      <xdr:col>13</xdr:col>
      <xdr:colOff>15240</xdr:colOff>
      <xdr:row>25</xdr:row>
      <xdr:rowOff>53340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055620" y="2758440"/>
          <a:ext cx="4884420" cy="113538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cap="none" spc="0">
              <a:ln w="0"/>
              <a:solidFill>
                <a:schemeClr val="accent1"/>
              </a:solidFill>
              <a:effectLst>
                <a:outerShdw blurRad="38100" dist="25400" dir="5400000" algn="ctr" rotWithShape="0">
                  <a:srgbClr val="6E747A">
                    <a:alpha val="43000"/>
                  </a:srgbClr>
                </a:outerShdw>
              </a:effectLst>
            </a:rPr>
            <a:t>Charts Tab:</a:t>
          </a:r>
        </a:p>
        <a:p>
          <a:r>
            <a:rPr lang="en-US" sz="1100"/>
            <a:t>The</a:t>
          </a:r>
          <a:r>
            <a:rPr lang="en-US" sz="1100" baseline="0"/>
            <a:t> charts tab gives an overview of portfolio performance. There are two parameters for the run: date gets defaulted to current day unless it is not a business day then it is the previous business day. The ticker dropdown shows the assets held on that day. If the date is changed, then clear out the dropdown value so that it will load the corresponding tickers. </a:t>
          </a:r>
          <a:endParaRPr lang="en-US" sz="1100"/>
        </a:p>
      </xdr:txBody>
    </xdr:sp>
    <xdr:clientData/>
  </xdr:twoCellAnchor>
  <xdr:twoCellAnchor>
    <xdr:from>
      <xdr:col>0</xdr:col>
      <xdr:colOff>601980</xdr:colOff>
      <xdr:row>20</xdr:row>
      <xdr:rowOff>0</xdr:rowOff>
    </xdr:from>
    <xdr:to>
      <xdr:col>3</xdr:col>
      <xdr:colOff>0</xdr:colOff>
      <xdr:row>23</xdr:row>
      <xdr:rowOff>0</xdr:rowOff>
    </xdr:to>
    <xdr:sp macro="[0]!Chart" textlink="">
      <xdr:nvSpPr>
        <xdr:cNvPr id="10" name="Rectangle: Single Corner Snipped 9">
          <a:extLst>
            <a:ext uri="{FF2B5EF4-FFF2-40B4-BE49-F238E27FC236}">
              <a16:creationId xmlns:a16="http://schemas.microsoft.com/office/drawing/2014/main" id="{00000000-0008-0000-0000-00000A000000}"/>
            </a:ext>
          </a:extLst>
        </xdr:cNvPr>
        <xdr:cNvSpPr/>
      </xdr:nvSpPr>
      <xdr:spPr>
        <a:xfrm>
          <a:off x="601980" y="2926080"/>
          <a:ext cx="1226820" cy="548640"/>
        </a:xfrm>
        <a:prstGeom prst="snip1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ctr"/>
          <a:r>
            <a:rPr lang="en-US" sz="1100" baseline="0"/>
            <a:t>Visualize</a:t>
          </a:r>
        </a:p>
        <a:p>
          <a:pPr algn="l"/>
          <a:endParaRPr lang="en-US" sz="1100"/>
        </a:p>
      </xdr:txBody>
    </xdr:sp>
    <xdr:clientData/>
  </xdr:twoCellAnchor>
  <xdr:twoCellAnchor>
    <xdr:from>
      <xdr:col>1</xdr:col>
      <xdr:colOff>22860</xdr:colOff>
      <xdr:row>1</xdr:row>
      <xdr:rowOff>15240</xdr:rowOff>
    </xdr:from>
    <xdr:to>
      <xdr:col>13</xdr:col>
      <xdr:colOff>15240</xdr:colOff>
      <xdr:row>3</xdr:row>
      <xdr:rowOff>30480</xdr:rowOff>
    </xdr:to>
    <xdr:sp macro="[0]!Start" textlink="">
      <xdr:nvSpPr>
        <xdr:cNvPr id="4" name="Rectangle: Single Corner Snipped 3">
          <a:extLst>
            <a:ext uri="{FF2B5EF4-FFF2-40B4-BE49-F238E27FC236}">
              <a16:creationId xmlns:a16="http://schemas.microsoft.com/office/drawing/2014/main" id="{E2F3C69D-050F-416E-8DAF-ECF3B336F5A9}"/>
            </a:ext>
          </a:extLst>
        </xdr:cNvPr>
        <xdr:cNvSpPr/>
      </xdr:nvSpPr>
      <xdr:spPr>
        <a:xfrm>
          <a:off x="632460" y="198120"/>
          <a:ext cx="7307580" cy="381000"/>
        </a:xfrm>
        <a:prstGeom prst="snip1Rect">
          <a:avLst/>
        </a:prstGeom>
      </xdr:spPr>
      <xdr:style>
        <a:lnRef idx="2">
          <a:schemeClr val="accent1">
            <a:shade val="50000"/>
          </a:schemeClr>
        </a:lnRef>
        <a:fillRef idx="1003">
          <a:schemeClr val="lt2"/>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Initalize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586740</xdr:colOff>
      <xdr:row>0</xdr:row>
      <xdr:rowOff>175260</xdr:rowOff>
    </xdr:from>
    <xdr:to>
      <xdr:col>11</xdr:col>
      <xdr:colOff>68580</xdr:colOff>
      <xdr:row>2</xdr:row>
      <xdr:rowOff>160020</xdr:rowOff>
    </xdr:to>
    <xdr:sp macro="[0]!Snapshot" textlink="">
      <xdr:nvSpPr>
        <xdr:cNvPr id="2" name="Rectangle: Single Corner Snipped 1">
          <a:extLst>
            <a:ext uri="{FF2B5EF4-FFF2-40B4-BE49-F238E27FC236}">
              <a16:creationId xmlns:a16="http://schemas.microsoft.com/office/drawing/2014/main" id="{00000000-0008-0000-0200-000002000000}"/>
            </a:ext>
          </a:extLst>
        </xdr:cNvPr>
        <xdr:cNvSpPr/>
      </xdr:nvSpPr>
      <xdr:spPr>
        <a:xfrm>
          <a:off x="10355580" y="175260"/>
          <a:ext cx="1310640" cy="350520"/>
        </a:xfrm>
        <a:prstGeom prst="snip1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US" sz="1100" b="1"/>
            <a:t>Insert</a:t>
          </a:r>
          <a:r>
            <a:rPr lang="en-US" sz="1100" b="1" baseline="0"/>
            <a:t> Snap</a:t>
          </a: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601980</xdr:colOff>
      <xdr:row>0</xdr:row>
      <xdr:rowOff>160020</xdr:rowOff>
    </xdr:from>
    <xdr:to>
      <xdr:col>14</xdr:col>
      <xdr:colOff>45720</xdr:colOff>
      <xdr:row>3</xdr:row>
      <xdr:rowOff>38100</xdr:rowOff>
    </xdr:to>
    <xdr:sp macro="[0]!DisplayPast" textlink="">
      <xdr:nvSpPr>
        <xdr:cNvPr id="2" name="Rectangle: Top Corners One Rounded and One Snipped 1">
          <a:extLst>
            <a:ext uri="{FF2B5EF4-FFF2-40B4-BE49-F238E27FC236}">
              <a16:creationId xmlns:a16="http://schemas.microsoft.com/office/drawing/2014/main" id="{00000000-0008-0000-0300-000002000000}"/>
            </a:ext>
          </a:extLst>
        </xdr:cNvPr>
        <xdr:cNvSpPr/>
      </xdr:nvSpPr>
      <xdr:spPr>
        <a:xfrm>
          <a:off x="11193780" y="160020"/>
          <a:ext cx="1272540" cy="426720"/>
        </a:xfrm>
        <a:prstGeom prst="snip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b="1"/>
            <a:t>Refresh</a:t>
          </a:r>
        </a:p>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601980</xdr:colOff>
      <xdr:row>14</xdr:row>
      <xdr:rowOff>167640</xdr:rowOff>
    </xdr:from>
    <xdr:to>
      <xdr:col>12</xdr:col>
      <xdr:colOff>7620</xdr:colOff>
      <xdr:row>17</xdr:row>
      <xdr:rowOff>0</xdr:rowOff>
    </xdr:to>
    <xdr:sp macro="[0]!CloseTrans" textlink="">
      <xdr:nvSpPr>
        <xdr:cNvPr id="2" name="Rectangle: Single Corner Snipped 1">
          <a:extLst>
            <a:ext uri="{FF2B5EF4-FFF2-40B4-BE49-F238E27FC236}">
              <a16:creationId xmlns:a16="http://schemas.microsoft.com/office/drawing/2014/main" id="{00000000-0008-0000-0400-000002000000}"/>
            </a:ext>
          </a:extLst>
        </xdr:cNvPr>
        <xdr:cNvSpPr/>
      </xdr:nvSpPr>
      <xdr:spPr>
        <a:xfrm>
          <a:off x="10820400" y="2727960"/>
          <a:ext cx="1234440" cy="381000"/>
        </a:xfrm>
        <a:prstGeom prst="snip1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US" sz="1100" b="1"/>
            <a:t>Close</a:t>
          </a:r>
        </a:p>
      </xdr:txBody>
    </xdr:sp>
    <xdr:clientData/>
  </xdr:twoCellAnchor>
  <xdr:twoCellAnchor>
    <xdr:from>
      <xdr:col>13</xdr:col>
      <xdr:colOff>601980</xdr:colOff>
      <xdr:row>14</xdr:row>
      <xdr:rowOff>167640</xdr:rowOff>
    </xdr:from>
    <xdr:to>
      <xdr:col>16</xdr:col>
      <xdr:colOff>0</xdr:colOff>
      <xdr:row>16</xdr:row>
      <xdr:rowOff>175260</xdr:rowOff>
    </xdr:to>
    <xdr:sp macro="[0]!DisplayOpen" textlink="">
      <xdr:nvSpPr>
        <xdr:cNvPr id="3" name="Rectangle: Single Corner Snipped 2">
          <a:extLst>
            <a:ext uri="{FF2B5EF4-FFF2-40B4-BE49-F238E27FC236}">
              <a16:creationId xmlns:a16="http://schemas.microsoft.com/office/drawing/2014/main" id="{00000000-0008-0000-0400-000003000000}"/>
            </a:ext>
          </a:extLst>
        </xdr:cNvPr>
        <xdr:cNvSpPr/>
      </xdr:nvSpPr>
      <xdr:spPr>
        <a:xfrm>
          <a:off x="13258800" y="2727960"/>
          <a:ext cx="1226820" cy="373380"/>
        </a:xfrm>
        <a:prstGeom prst="snip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a:t>Refresh</a:t>
          </a:r>
        </a:p>
      </xdr:txBody>
    </xdr:sp>
    <xdr:clientData/>
  </xdr:twoCellAnchor>
  <xdr:twoCellAnchor>
    <xdr:from>
      <xdr:col>9</xdr:col>
      <xdr:colOff>601980</xdr:colOff>
      <xdr:row>0</xdr:row>
      <xdr:rowOff>160020</xdr:rowOff>
    </xdr:from>
    <xdr:to>
      <xdr:col>15</xdr:col>
      <xdr:colOff>601980</xdr:colOff>
      <xdr:row>14</xdr:row>
      <xdr:rowOff>7620</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820400" y="160020"/>
          <a:ext cx="3657600" cy="240792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cap="none" spc="0">
              <a:ln w="0"/>
              <a:solidFill>
                <a:schemeClr val="accent1"/>
              </a:solidFill>
              <a:effectLst>
                <a:outerShdw blurRad="38100" dist="25400" dir="5400000" algn="ctr" rotWithShape="0">
                  <a:srgbClr val="6E747A">
                    <a:alpha val="43000"/>
                  </a:srgbClr>
                </a:outerShdw>
              </a:effectLst>
            </a:rPr>
            <a:t>Instructions</a:t>
          </a:r>
          <a:r>
            <a:rPr lang="en-US" sz="1100" b="0" cap="none" spc="0" baseline="0">
              <a:ln w="0"/>
              <a:solidFill>
                <a:schemeClr val="accent1"/>
              </a:solidFill>
              <a:effectLst>
                <a:outerShdw blurRad="38100" dist="25400" dir="5400000" algn="ctr" rotWithShape="0">
                  <a:srgbClr val="6E747A">
                    <a:alpha val="43000"/>
                  </a:srgbClr>
                </a:outerShdw>
              </a:effectLst>
            </a:rPr>
            <a:t>:</a:t>
          </a:r>
        </a:p>
        <a:p>
          <a:endParaRPr lang="en-US" sz="1100" baseline="0"/>
        </a:p>
        <a:p>
          <a:r>
            <a:rPr lang="en-US" sz="1100"/>
            <a:t>This</a:t>
          </a:r>
          <a:r>
            <a:rPr lang="en-US" sz="1100" baseline="0"/>
            <a:t> tab displays all the open transactions and provides the functionality for transactions to be closed. </a:t>
          </a:r>
        </a:p>
        <a:p>
          <a:endParaRPr lang="en-US" sz="1100" baseline="0"/>
        </a:p>
        <a:p>
          <a:r>
            <a:rPr lang="en-US" sz="1100" baseline="0"/>
            <a:t>To close a transaction: enter the close_price and the amount of position to close out. Highlight the relevant row (without the column headers), then hit "Close".</a:t>
          </a:r>
        </a:p>
        <a:p>
          <a:endParaRPr lang="en-US" sz="1100" baseline="0"/>
        </a:p>
        <a:p>
          <a:r>
            <a:rPr lang="en-US" sz="1100" baseline="0">
              <a:solidFill>
                <a:srgbClr val="FF0000"/>
              </a:solidFill>
            </a:rPr>
            <a:t>Close_position and position should be of the same sign. </a:t>
          </a:r>
        </a:p>
        <a:p>
          <a:r>
            <a:rPr lang="en-US" sz="1100" baseline="0">
              <a:solidFill>
                <a:srgbClr val="FF0000"/>
              </a:solidFill>
            </a:rPr>
            <a:t>For options, close_price should be the underlying price when they have expired, current option price otherwise.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579120</xdr:colOff>
      <xdr:row>17</xdr:row>
      <xdr:rowOff>175260</xdr:rowOff>
    </xdr:from>
    <xdr:to>
      <xdr:col>16</xdr:col>
      <xdr:colOff>7620</xdr:colOff>
      <xdr:row>19</xdr:row>
      <xdr:rowOff>167640</xdr:rowOff>
    </xdr:to>
    <xdr:sp macro="[0]!InsertTrans" textlink="">
      <xdr:nvSpPr>
        <xdr:cNvPr id="2" name="Rectangle: Single Corner Snipped 1">
          <a:extLst>
            <a:ext uri="{FF2B5EF4-FFF2-40B4-BE49-F238E27FC236}">
              <a16:creationId xmlns:a16="http://schemas.microsoft.com/office/drawing/2014/main" id="{00000000-0008-0000-0500-000002000000}"/>
            </a:ext>
          </a:extLst>
        </xdr:cNvPr>
        <xdr:cNvSpPr/>
      </xdr:nvSpPr>
      <xdr:spPr>
        <a:xfrm>
          <a:off x="9898380" y="3284220"/>
          <a:ext cx="1257300" cy="358140"/>
        </a:xfrm>
        <a:prstGeom prst="snip1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US" sz="1100" b="1"/>
            <a:t>Insert</a:t>
          </a:r>
        </a:p>
      </xdr:txBody>
    </xdr:sp>
    <xdr:clientData/>
  </xdr:twoCellAnchor>
  <xdr:twoCellAnchor>
    <xdr:from>
      <xdr:col>18</xdr:col>
      <xdr:colOff>15240</xdr:colOff>
      <xdr:row>18</xdr:row>
      <xdr:rowOff>7620</xdr:rowOff>
    </xdr:from>
    <xdr:to>
      <xdr:col>20</xdr:col>
      <xdr:colOff>38100</xdr:colOff>
      <xdr:row>19</xdr:row>
      <xdr:rowOff>167640</xdr:rowOff>
    </xdr:to>
    <xdr:sp macro="[0]!CorrectTrans" textlink="">
      <xdr:nvSpPr>
        <xdr:cNvPr id="5" name="Rectangle: Single Corner Snipped 4">
          <a:extLst>
            <a:ext uri="{FF2B5EF4-FFF2-40B4-BE49-F238E27FC236}">
              <a16:creationId xmlns:a16="http://schemas.microsoft.com/office/drawing/2014/main" id="{00000000-0008-0000-0500-000005000000}"/>
            </a:ext>
          </a:extLst>
        </xdr:cNvPr>
        <xdr:cNvSpPr/>
      </xdr:nvSpPr>
      <xdr:spPr>
        <a:xfrm>
          <a:off x="12382500" y="3299460"/>
          <a:ext cx="1242060" cy="342900"/>
        </a:xfrm>
        <a:prstGeom prst="snip1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US" sz="1100" b="1"/>
            <a:t>Update</a:t>
          </a:r>
        </a:p>
        <a:p>
          <a:pPr algn="ctr"/>
          <a:endParaRPr lang="en-US" sz="1100" b="1"/>
        </a:p>
      </xdr:txBody>
    </xdr:sp>
    <xdr:clientData/>
  </xdr:twoCellAnchor>
  <xdr:twoCellAnchor>
    <xdr:from>
      <xdr:col>13</xdr:col>
      <xdr:colOff>594360</xdr:colOff>
      <xdr:row>1</xdr:row>
      <xdr:rowOff>0</xdr:rowOff>
    </xdr:from>
    <xdr:to>
      <xdr:col>20</xdr:col>
      <xdr:colOff>7620</xdr:colOff>
      <xdr:row>16</xdr:row>
      <xdr:rowOff>175260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9913620" y="182880"/>
          <a:ext cx="3680460" cy="291846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cap="none" spc="0">
              <a:ln w="0"/>
              <a:solidFill>
                <a:schemeClr val="accent1"/>
              </a:solidFill>
              <a:effectLst>
                <a:outerShdw blurRad="38100" dist="25400" dir="5400000" algn="ctr" rotWithShape="0">
                  <a:srgbClr val="6E747A">
                    <a:alpha val="43000"/>
                  </a:srgbClr>
                </a:outerShdw>
              </a:effectLst>
            </a:rPr>
            <a:t>Instructions</a:t>
          </a:r>
          <a:r>
            <a:rPr lang="en-US" sz="1100" b="0" cap="none" spc="0" baseline="0">
              <a:ln w="0"/>
              <a:solidFill>
                <a:schemeClr val="accent1"/>
              </a:solidFill>
              <a:effectLst>
                <a:outerShdw blurRad="38100" dist="25400" dir="5400000" algn="ctr" rotWithShape="0">
                  <a:srgbClr val="6E747A">
                    <a:alpha val="43000"/>
                  </a:srgbClr>
                </a:outerShdw>
              </a:effectLst>
            </a:rPr>
            <a:t>:</a:t>
          </a:r>
        </a:p>
        <a:p>
          <a:endParaRPr lang="en-US" sz="1100" baseline="0"/>
        </a:p>
        <a:p>
          <a:r>
            <a:rPr lang="en-US" sz="1100" baseline="0"/>
            <a:t>The tab exposes the insert and update functionality for current transactions.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*Multi-row insert is supported; bulk update is not.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*For options, start_price = option premium </a:t>
          </a:r>
          <a:endParaRPr lang="en-US">
            <a:solidFill>
              <a:srgbClr val="FF0000"/>
            </a:solidFill>
            <a:effectLst/>
          </a:endParaRPr>
        </a:p>
        <a:p>
          <a:endParaRPr lang="en-US" sz="1100" baseline="0"/>
        </a:p>
        <a:p>
          <a:r>
            <a:rPr lang="en-US" sz="1100" baseline="0"/>
            <a:t>For both operations: fill out the rows underneath the field names. Highlight all inputs (including headers) and hit the "Insert" button. For non-option trades, leave c/p, strike, expiry blank.</a:t>
          </a:r>
        </a:p>
        <a:p>
          <a:endParaRPr lang="en-US" sz="1100" baseline="0"/>
        </a:p>
        <a:p>
          <a:r>
            <a:rPr lang="en-US" sz="1100" baseline="0"/>
            <a:t>Applicable to updates: for existing fields, enter the field name in the first row and the corresponding new value in the second row. For deletion of existing fields, leave the corresponding second row cell blank. </a:t>
          </a:r>
        </a:p>
        <a:p>
          <a:r>
            <a:rPr lang="en-US" sz="1100" baseline="0"/>
            <a:t>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15240</xdr:colOff>
      <xdr:row>14</xdr:row>
      <xdr:rowOff>7620</xdr:rowOff>
    </xdr:from>
    <xdr:to>
      <xdr:col>9</xdr:col>
      <xdr:colOff>594360</xdr:colOff>
      <xdr:row>16</xdr:row>
      <xdr:rowOff>53340</xdr:rowOff>
    </xdr:to>
    <xdr:sp macro="[0]!DeleteTrans" textlink="">
      <xdr:nvSpPr>
        <xdr:cNvPr id="2" name="Rectangle: Single Corner Snipped 1">
          <a:extLst>
            <a:ext uri="{FF2B5EF4-FFF2-40B4-BE49-F238E27FC236}">
              <a16:creationId xmlns:a16="http://schemas.microsoft.com/office/drawing/2014/main" id="{00000000-0008-0000-0600-000002000000}"/>
            </a:ext>
          </a:extLst>
        </xdr:cNvPr>
        <xdr:cNvSpPr/>
      </xdr:nvSpPr>
      <xdr:spPr>
        <a:xfrm>
          <a:off x="5212080" y="2567940"/>
          <a:ext cx="1188720" cy="411480"/>
        </a:xfrm>
        <a:prstGeom prst="snip1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ctr"/>
          <a:r>
            <a:rPr lang="en-US" sz="1100" b="1"/>
            <a:t>Delete</a:t>
          </a:r>
        </a:p>
      </xdr:txBody>
    </xdr:sp>
    <xdr:clientData/>
  </xdr:twoCellAnchor>
  <xdr:twoCellAnchor>
    <xdr:from>
      <xdr:col>8</xdr:col>
      <xdr:colOff>7620</xdr:colOff>
      <xdr:row>0</xdr:row>
      <xdr:rowOff>22860</xdr:rowOff>
    </xdr:from>
    <xdr:to>
      <xdr:col>12</xdr:col>
      <xdr:colOff>594360</xdr:colOff>
      <xdr:row>13</xdr:row>
      <xdr:rowOff>38100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5204460" y="22860"/>
          <a:ext cx="3025140" cy="2392680"/>
        </a:xfrm>
        <a:prstGeom prst="rect">
          <a:avLst/>
        </a:prstGeom>
        <a:solidFill>
          <a:schemeClr val="accent5">
            <a:lumMod val="20000"/>
            <a:lumOff val="80000"/>
          </a:schemeClr>
        </a:solidFill>
        <a:ln w="9525" cmpd="sng">
          <a:solidFill>
            <a:schemeClr val="accent5">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cap="none" spc="0">
              <a:ln w="0"/>
              <a:solidFill>
                <a:schemeClr val="accent1"/>
              </a:solidFill>
              <a:effectLst>
                <a:outerShdw blurRad="38100" dist="25400" dir="5400000" algn="ctr" rotWithShape="0">
                  <a:srgbClr val="6E747A">
                    <a:alpha val="43000"/>
                  </a:srgbClr>
                </a:outerShdw>
              </a:effectLst>
            </a:rPr>
            <a:t>Instructions</a:t>
          </a:r>
          <a:r>
            <a:rPr lang="en-US" sz="1100" b="0" cap="none" spc="0" baseline="0">
              <a:ln w="0"/>
              <a:solidFill>
                <a:schemeClr val="accent1"/>
              </a:solidFill>
              <a:effectLst>
                <a:outerShdw blurRad="38100" dist="25400" dir="5400000" algn="ctr" rotWithShape="0">
                  <a:srgbClr val="6E747A">
                    <a:alpha val="43000"/>
                  </a:srgbClr>
                </a:outerShdw>
              </a:effectLst>
            </a:rPr>
            <a:t>:</a:t>
          </a:r>
        </a:p>
        <a:p>
          <a:endParaRPr lang="en-US" sz="1100" baseline="0"/>
        </a:p>
        <a:p>
          <a:r>
            <a:rPr lang="en-US" sz="1100" baseline="0"/>
            <a:t>This tab allows the deletion of current transactions. </a:t>
          </a:r>
        </a:p>
        <a:p>
          <a:endParaRPr lang="en-US" sz="1100" baseline="0"/>
        </a:p>
        <a:p>
          <a:r>
            <a:rPr lang="en-US" sz="1100" baseline="0">
              <a:solidFill>
                <a:srgbClr val="FF0000"/>
              </a:solidFill>
            </a:rPr>
            <a:t>Deletion of the entire collection is not supported here. </a:t>
          </a:r>
        </a:p>
        <a:p>
          <a:endParaRPr lang="en-US" sz="1100" baseline="0"/>
        </a:p>
        <a:p>
          <a:r>
            <a:rPr lang="en-US" sz="1100" baseline="0"/>
            <a:t>To use the functionality, enter the field names in the first row and the corresponding values for querying. Then highlight all the inputs and hit the "Delete" button below. </a:t>
          </a:r>
        </a:p>
        <a:p>
          <a:endParaRPr lang="en-US" sz="1100" baseline="0"/>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251460</xdr:colOff>
      <xdr:row>7</xdr:row>
      <xdr:rowOff>167640</xdr:rowOff>
    </xdr:from>
    <xdr:to>
      <xdr:col>16</xdr:col>
      <xdr:colOff>0</xdr:colOff>
      <xdr:row>9</xdr:row>
      <xdr:rowOff>175260</xdr:rowOff>
    </xdr:to>
    <xdr:sp macro="[0]!Chart" textlink="">
      <xdr:nvSpPr>
        <xdr:cNvPr id="28" name="Rectangle: Single Corner Snipped 27">
          <a:extLst>
            <a:ext uri="{FF2B5EF4-FFF2-40B4-BE49-F238E27FC236}">
              <a16:creationId xmlns:a16="http://schemas.microsoft.com/office/drawing/2014/main" id="{7E18A6F0-C33D-408B-A67A-3FF1B8A560AD}"/>
            </a:ext>
          </a:extLst>
        </xdr:cNvPr>
        <xdr:cNvSpPr/>
      </xdr:nvSpPr>
      <xdr:spPr>
        <a:xfrm>
          <a:off x="8961120" y="1447800"/>
          <a:ext cx="1287780" cy="373380"/>
        </a:xfrm>
        <a:prstGeom prst="snip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a:t>Refresh</a:t>
          </a:r>
        </a:p>
      </xdr:txBody>
    </xdr:sp>
    <xdr:clientData/>
  </xdr:twoCellAnchor>
  <xdr:twoCellAnchor editAs="oneCell">
    <xdr:from>
      <xdr:col>1</xdr:col>
      <xdr:colOff>0</xdr:colOff>
      <xdr:row>2</xdr:row>
      <xdr:rowOff>0</xdr:rowOff>
    </xdr:from>
    <xdr:to>
      <xdr:col>9</xdr:col>
      <xdr:colOff>246898</xdr:colOff>
      <xdr:row>24</xdr:row>
      <xdr:rowOff>71636</xdr:rowOff>
    </xdr:to>
    <xdr:pic>
      <xdr:nvPicPr>
        <xdr:cNvPr id="4098" name="pnl">
          <a:extLst>
            <a:ext uri="{FF2B5EF4-FFF2-40B4-BE49-F238E27FC236}">
              <a16:creationId xmlns:a16="http://schemas.microsoft.com/office/drawing/2014/main" id="{924FFE5C-BE39-44A6-94B0-88E7288EEE55}"/>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365760"/>
          <a:ext cx="5123698" cy="4133096"/>
        </a:xfrm>
        <a:prstGeom prst="rect">
          <a:avLst/>
        </a:prstGeom>
      </xdr:spPr>
    </xdr:pic>
    <xdr:clientData/>
  </xdr:twoCellAnchor>
  <xdr:twoCellAnchor editAs="oneCell">
    <xdr:from>
      <xdr:col>1</xdr:col>
      <xdr:colOff>0</xdr:colOff>
      <xdr:row>29</xdr:row>
      <xdr:rowOff>0</xdr:rowOff>
    </xdr:from>
    <xdr:to>
      <xdr:col>9</xdr:col>
      <xdr:colOff>167650</xdr:colOff>
      <xdr:row>51</xdr:row>
      <xdr:rowOff>109736</xdr:rowOff>
    </xdr:to>
    <xdr:pic>
      <xdr:nvPicPr>
        <xdr:cNvPr id="4100" name="greeks">
          <a:extLst>
            <a:ext uri="{FF2B5EF4-FFF2-40B4-BE49-F238E27FC236}">
              <a16:creationId xmlns:a16="http://schemas.microsoft.com/office/drawing/2014/main" id="{B5B792E4-4C70-4545-82C7-5051AA33CA2E}"/>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9600" y="5318760"/>
          <a:ext cx="5044450" cy="4133096"/>
        </a:xfrm>
        <a:prstGeom prst="rect">
          <a:avLst/>
        </a:prstGeom>
      </xdr:spPr>
    </xdr:pic>
    <xdr:clientData/>
  </xdr:twoCellAnchor>
  <xdr:twoCellAnchor editAs="oneCell">
    <xdr:from>
      <xdr:col>12</xdr:col>
      <xdr:colOff>0</xdr:colOff>
      <xdr:row>29</xdr:row>
      <xdr:rowOff>0</xdr:rowOff>
    </xdr:from>
    <xdr:to>
      <xdr:col>18</xdr:col>
      <xdr:colOff>283474</xdr:colOff>
      <xdr:row>48</xdr:row>
      <xdr:rowOff>42679</xdr:rowOff>
    </xdr:to>
    <xdr:pic>
      <xdr:nvPicPr>
        <xdr:cNvPr id="4102" name="breakdown">
          <a:extLst>
            <a:ext uri="{FF2B5EF4-FFF2-40B4-BE49-F238E27FC236}">
              <a16:creationId xmlns:a16="http://schemas.microsoft.com/office/drawing/2014/main" id="{E6437A4D-851A-4D0A-AB59-0CE6AB974EBF}"/>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315200" y="5318760"/>
          <a:ext cx="5099314" cy="35173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5629F-C40A-4F79-BC76-DC515CB9E476}">
  <sheetPr codeName="Sheet5"/>
  <dimension ref="F7:M13"/>
  <sheetViews>
    <sheetView tabSelected="1" workbookViewId="0">
      <selection activeCell="E18" sqref="E18"/>
    </sheetView>
  </sheetViews>
  <sheetFormatPr defaultRowHeight="14.4" x14ac:dyDescent="0.3"/>
  <sheetData>
    <row r="7" spans="6:13" x14ac:dyDescent="0.3">
      <c r="F7" s="20"/>
      <c r="G7" s="20"/>
      <c r="H7" s="20"/>
      <c r="I7" s="20"/>
      <c r="J7" s="20"/>
      <c r="K7" s="20"/>
      <c r="L7" s="20"/>
      <c r="M7" s="20"/>
    </row>
    <row r="8" spans="6:13" x14ac:dyDescent="0.3">
      <c r="F8" s="20"/>
      <c r="G8" s="20"/>
      <c r="H8" s="20"/>
      <c r="I8" s="20"/>
      <c r="J8" s="20"/>
      <c r="K8" s="20"/>
      <c r="L8" s="20"/>
      <c r="M8" s="20"/>
    </row>
    <row r="9" spans="6:13" x14ac:dyDescent="0.3">
      <c r="F9" s="20"/>
      <c r="G9" s="20"/>
      <c r="H9" s="20"/>
      <c r="I9" s="20"/>
      <c r="J9" s="20"/>
      <c r="K9" s="20"/>
      <c r="L9" s="20"/>
      <c r="M9" s="20"/>
    </row>
    <row r="10" spans="6:13" x14ac:dyDescent="0.3">
      <c r="F10" s="20"/>
      <c r="G10" s="20"/>
      <c r="H10" s="20"/>
      <c r="I10" s="20"/>
      <c r="J10" s="20"/>
      <c r="K10" s="20"/>
      <c r="L10" s="20"/>
      <c r="M10" s="20"/>
    </row>
    <row r="11" spans="6:13" x14ac:dyDescent="0.3">
      <c r="F11" s="20"/>
      <c r="G11" s="20"/>
      <c r="H11" s="20"/>
      <c r="I11" s="20"/>
      <c r="J11" s="20"/>
      <c r="K11" s="20"/>
      <c r="L11" s="20"/>
      <c r="M11" s="20"/>
    </row>
    <row r="12" spans="6:13" x14ac:dyDescent="0.3">
      <c r="F12" s="20"/>
      <c r="G12" s="20"/>
      <c r="H12" s="20"/>
      <c r="I12" s="20"/>
      <c r="J12" s="20"/>
      <c r="K12" s="20"/>
      <c r="L12" s="20"/>
      <c r="M12" s="20"/>
    </row>
    <row r="13" spans="6:13" x14ac:dyDescent="0.3">
      <c r="F13" s="20"/>
      <c r="G13" s="20"/>
      <c r="H13" s="20"/>
      <c r="I13" s="20"/>
      <c r="J13" s="20"/>
      <c r="K13" s="20"/>
      <c r="L13" s="20"/>
      <c r="M13" s="20"/>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D9C1D-796D-4AF6-A425-CF6BF81B5BCC}">
  <sheetPr codeName="Sheet2"/>
  <dimension ref="A1:N10"/>
  <sheetViews>
    <sheetView zoomScaleNormal="100" workbookViewId="0">
      <selection activeCell="F16" sqref="F16"/>
    </sheetView>
  </sheetViews>
  <sheetFormatPr defaultRowHeight="14.4" x14ac:dyDescent="0.3"/>
  <cols>
    <col min="1" max="1" width="12.77734375" customWidth="1"/>
    <col min="2" max="2" width="12.109375" customWidth="1"/>
    <col min="3" max="3" width="12.109375" style="14" customWidth="1"/>
    <col min="4" max="4" width="12.109375" style="2" customWidth="1"/>
    <col min="5" max="5" width="15" style="16" customWidth="1"/>
    <col min="6" max="6" width="14.44140625" customWidth="1"/>
    <col min="7" max="7" width="19.21875" style="14" customWidth="1"/>
    <col min="8" max="10" width="15.77734375" style="14" customWidth="1"/>
    <col min="11" max="11" width="12.6640625" style="14" customWidth="1"/>
    <col min="12" max="12" width="12.44140625" style="14" customWidth="1"/>
    <col min="13" max="13" width="13.77734375" style="14" customWidth="1"/>
    <col min="14" max="14" width="13.33203125" style="14" customWidth="1"/>
  </cols>
  <sheetData>
    <row r="1" spans="1:14" x14ac:dyDescent="0.3">
      <c r="A1" s="12" t="s">
        <v>13</v>
      </c>
      <c r="B1" cm="1">
        <f t="array" ref="B1">_xll.BDP("usswap10Y curncy", "px_close_1d")</f>
        <v>1.49</v>
      </c>
    </row>
    <row r="2" spans="1:14" ht="14.4" customHeight="1" x14ac:dyDescent="0.3"/>
    <row r="3" spans="1:14" x14ac:dyDescent="0.3">
      <c r="A3" s="11" t="s">
        <v>1</v>
      </c>
      <c r="B3" s="11" t="s">
        <v>7</v>
      </c>
      <c r="C3" s="13" t="s">
        <v>6</v>
      </c>
      <c r="D3" s="9" t="s">
        <v>5</v>
      </c>
      <c r="E3" s="15" t="s">
        <v>8</v>
      </c>
      <c r="F3" s="11" t="s">
        <v>16</v>
      </c>
      <c r="G3" s="13" t="s">
        <v>3</v>
      </c>
      <c r="H3" s="13" t="s">
        <v>14</v>
      </c>
      <c r="I3" s="13" t="s">
        <v>12</v>
      </c>
      <c r="J3" s="13" t="s">
        <v>15</v>
      </c>
      <c r="K3" s="13" t="s">
        <v>4</v>
      </c>
      <c r="L3" s="13" t="s">
        <v>9</v>
      </c>
      <c r="M3" s="13" t="s">
        <v>10</v>
      </c>
      <c r="N3" s="13" t="s">
        <v>11</v>
      </c>
    </row>
    <row r="5" spans="1:14" x14ac:dyDescent="0.3">
      <c r="K5" s="17"/>
      <c r="L5" s="17"/>
    </row>
    <row r="6" spans="1:14" x14ac:dyDescent="0.3">
      <c r="K6" s="17"/>
      <c r="L6" s="17"/>
    </row>
    <row r="7" spans="1:14" x14ac:dyDescent="0.3">
      <c r="K7" s="17"/>
      <c r="L7" s="17"/>
    </row>
    <row r="8" spans="1:14" x14ac:dyDescent="0.3">
      <c r="L8" s="17"/>
    </row>
    <row r="9" spans="1:14" x14ac:dyDescent="0.3">
      <c r="L9" s="17"/>
    </row>
    <row r="10" spans="1:14" x14ac:dyDescent="0.3">
      <c r="L10" s="1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C542E-004B-42B8-BB3F-155EC826B993}">
  <sheetPr codeName="Sheet7"/>
  <dimension ref="A1:G1"/>
  <sheetViews>
    <sheetView zoomScaleNormal="100" workbookViewId="0">
      <selection activeCell="D10" sqref="D10"/>
    </sheetView>
  </sheetViews>
  <sheetFormatPr defaultRowHeight="14.4" x14ac:dyDescent="0.3"/>
  <cols>
    <col min="1" max="1" width="14.88671875" customWidth="1"/>
    <col min="2" max="7" width="19.77734375" style="14" customWidth="1"/>
  </cols>
  <sheetData>
    <row r="1" spans="1:7" s="12" customFormat="1" x14ac:dyDescent="0.3">
      <c r="A1" s="25" t="s">
        <v>1</v>
      </c>
      <c r="B1" s="31" t="s">
        <v>20</v>
      </c>
      <c r="C1" s="31" t="s">
        <v>17</v>
      </c>
      <c r="D1" s="31" t="s">
        <v>28</v>
      </c>
      <c r="E1" s="31" t="s">
        <v>18</v>
      </c>
      <c r="F1" s="31" t="s">
        <v>19</v>
      </c>
      <c r="G1" s="31" t="s">
        <v>35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74A3-BC46-48DC-B0B3-C72488E42AF1}">
  <sheetPr codeName="Sheet8"/>
  <dimension ref="A1:J9"/>
  <sheetViews>
    <sheetView workbookViewId="0">
      <selection activeCell="D14" sqref="D14"/>
    </sheetView>
  </sheetViews>
  <sheetFormatPr defaultRowHeight="14.4" x14ac:dyDescent="0.3"/>
  <cols>
    <col min="1" max="1" width="14.5546875" style="2" customWidth="1"/>
    <col min="2" max="2" width="14.5546875" customWidth="1"/>
    <col min="3" max="3" width="14.5546875" style="16" customWidth="1"/>
    <col min="4" max="4" width="14.5546875" style="14" customWidth="1"/>
    <col min="5" max="7" width="14.5546875" customWidth="1"/>
    <col min="8" max="8" width="14.5546875" style="2" customWidth="1"/>
    <col min="9" max="10" width="14.5546875" style="14" customWidth="1"/>
  </cols>
  <sheetData>
    <row r="1" spans="1:10" x14ac:dyDescent="0.3">
      <c r="A1" s="9" t="s">
        <v>0</v>
      </c>
      <c r="B1" s="10" t="s">
        <v>1</v>
      </c>
      <c r="C1" s="15" t="s">
        <v>8</v>
      </c>
      <c r="D1" s="13" t="s">
        <v>2</v>
      </c>
      <c r="E1" s="11" t="s">
        <v>7</v>
      </c>
      <c r="F1" s="8" t="s">
        <v>6</v>
      </c>
      <c r="G1" s="9" t="s">
        <v>5</v>
      </c>
      <c r="H1" s="9" t="s">
        <v>24</v>
      </c>
      <c r="I1" s="13" t="s">
        <v>23</v>
      </c>
      <c r="J1" s="13" t="s">
        <v>25</v>
      </c>
    </row>
    <row r="2" spans="1:10" x14ac:dyDescent="0.3">
      <c r="A2" s="2">
        <v>44459.521377314813</v>
      </c>
      <c r="B2" t="s">
        <v>22</v>
      </c>
      <c r="C2" s="16">
        <v>-50000</v>
      </c>
      <c r="D2" s="14">
        <v>79.5</v>
      </c>
      <c r="H2" s="2">
        <v>44461.771701388891</v>
      </c>
      <c r="I2" s="14">
        <v>78.994</v>
      </c>
      <c r="J2" s="14">
        <v>25500</v>
      </c>
    </row>
    <row r="3" spans="1:10" x14ac:dyDescent="0.3">
      <c r="A3" s="2">
        <v>44459.49931712963</v>
      </c>
      <c r="B3" t="s">
        <v>21</v>
      </c>
      <c r="C3" s="16">
        <v>10000</v>
      </c>
      <c r="D3" s="14">
        <v>1755.73</v>
      </c>
      <c r="H3" s="2">
        <v>44462.574259259258</v>
      </c>
      <c r="I3" s="14">
        <v>1764.52</v>
      </c>
      <c r="J3" s="14">
        <v>87899.999999999985</v>
      </c>
    </row>
    <row r="4" spans="1:10" x14ac:dyDescent="0.3">
      <c r="A4" s="2">
        <v>44462.590578703705</v>
      </c>
      <c r="B4" t="s">
        <v>29</v>
      </c>
      <c r="C4" s="16">
        <v>-20000</v>
      </c>
      <c r="D4" s="14">
        <v>87.138999999999996</v>
      </c>
      <c r="H4" s="2">
        <v>44466.489907407406</v>
      </c>
      <c r="I4" s="14">
        <v>86.83</v>
      </c>
      <c r="J4" s="14">
        <v>6200</v>
      </c>
    </row>
    <row r="5" spans="1:10" x14ac:dyDescent="0.3">
      <c r="A5" s="2">
        <v>44462.591643518521</v>
      </c>
      <c r="B5" t="s">
        <v>30</v>
      </c>
      <c r="C5" s="16">
        <v>20000</v>
      </c>
      <c r="D5" s="14">
        <v>1.2644</v>
      </c>
      <c r="H5" s="2">
        <v>44466.493310185186</v>
      </c>
      <c r="I5" s="14">
        <v>1.2654000000000001</v>
      </c>
      <c r="J5" s="14">
        <v>0</v>
      </c>
    </row>
    <row r="6" spans="1:10" x14ac:dyDescent="0.3">
      <c r="A6" s="2">
        <v>44466.506111111114</v>
      </c>
      <c r="B6" t="s">
        <v>32</v>
      </c>
      <c r="C6" s="16">
        <v>-30000</v>
      </c>
      <c r="D6" s="14">
        <v>84.991299999999995</v>
      </c>
      <c r="H6" s="2">
        <v>44466.658009259256</v>
      </c>
      <c r="I6" s="14">
        <v>84.767700000000005</v>
      </c>
      <c r="J6" s="14">
        <v>6600</v>
      </c>
    </row>
    <row r="7" spans="1:10" x14ac:dyDescent="0.3">
      <c r="A7" s="2">
        <v>44459.614201388889</v>
      </c>
      <c r="B7" t="s">
        <v>21</v>
      </c>
      <c r="C7" s="16">
        <v>30000</v>
      </c>
      <c r="D7" s="14">
        <v>1765.99</v>
      </c>
      <c r="H7" s="2">
        <v>44469.649212962962</v>
      </c>
      <c r="I7" s="14">
        <v>1762.3</v>
      </c>
      <c r="J7" s="14">
        <v>-110700</v>
      </c>
    </row>
    <row r="8" spans="1:10" x14ac:dyDescent="0.3">
      <c r="A8" s="2">
        <v>44473.562685185185</v>
      </c>
      <c r="B8" t="s">
        <v>22</v>
      </c>
      <c r="C8" s="16">
        <v>15000</v>
      </c>
      <c r="D8" s="14">
        <v>80.989999999999995</v>
      </c>
      <c r="H8" s="2">
        <v>44475.796597222223</v>
      </c>
      <c r="I8" s="14">
        <v>81.271000000000001</v>
      </c>
      <c r="J8" s="14">
        <v>4200</v>
      </c>
    </row>
    <row r="9" spans="1:10" x14ac:dyDescent="0.3">
      <c r="A9" s="2">
        <v>44473.562685185185</v>
      </c>
      <c r="B9" t="s">
        <v>22</v>
      </c>
      <c r="C9" s="16">
        <v>10000</v>
      </c>
      <c r="D9" s="14">
        <v>80.989999999999995</v>
      </c>
      <c r="H9" s="2">
        <v>44477.724942129629</v>
      </c>
      <c r="I9" s="14">
        <v>81.948999999999998</v>
      </c>
      <c r="J9" s="14">
        <v>9600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FE61F-4FCF-4666-A46F-2E4BE3CD82F7}">
  <sheetPr codeName="Sheet3"/>
  <dimension ref="A1:I8"/>
  <sheetViews>
    <sheetView zoomScaleNormal="100" workbookViewId="0">
      <selection activeCell="C13" sqref="C13"/>
    </sheetView>
  </sheetViews>
  <sheetFormatPr defaultRowHeight="14.4" x14ac:dyDescent="0.3"/>
  <cols>
    <col min="1" max="1" width="15.88671875" style="2" customWidth="1"/>
    <col min="2" max="2" width="20" style="3" customWidth="1"/>
    <col min="3" max="3" width="17.77734375" style="16" customWidth="1"/>
    <col min="4" max="4" width="20.88671875" style="14" customWidth="1"/>
    <col min="5" max="5" width="12.21875" customWidth="1"/>
    <col min="6" max="6" width="15.77734375" style="14" customWidth="1"/>
    <col min="7" max="7" width="13.6640625" style="2" customWidth="1"/>
    <col min="8" max="8" width="14.33203125" style="14" customWidth="1"/>
    <col min="9" max="9" width="18.44140625" style="16" customWidth="1"/>
  </cols>
  <sheetData>
    <row r="1" spans="1:9" x14ac:dyDescent="0.3">
      <c r="A1" s="9" t="s">
        <v>0</v>
      </c>
      <c r="B1" s="10" t="s">
        <v>1</v>
      </c>
      <c r="C1" s="15" t="s">
        <v>8</v>
      </c>
      <c r="D1" s="13" t="s">
        <v>2</v>
      </c>
      <c r="E1" s="7" t="s">
        <v>7</v>
      </c>
      <c r="F1" s="13" t="s">
        <v>6</v>
      </c>
      <c r="G1" s="9" t="s">
        <v>5</v>
      </c>
      <c r="H1" s="13" t="s">
        <v>23</v>
      </c>
      <c r="I1" s="15" t="s">
        <v>31</v>
      </c>
    </row>
    <row r="2" spans="1:9" x14ac:dyDescent="0.3">
      <c r="A2" s="2">
        <v>44461.751666666663</v>
      </c>
      <c r="B2" s="3" t="s">
        <v>26</v>
      </c>
      <c r="C2" s="16">
        <v>500</v>
      </c>
      <c r="D2" s="14">
        <v>5.59</v>
      </c>
      <c r="E2" t="s">
        <v>27</v>
      </c>
      <c r="F2" s="14">
        <v>220</v>
      </c>
      <c r="G2" s="2">
        <v>44484.166666666664</v>
      </c>
    </row>
    <row r="3" spans="1:9" ht="14.4" customHeight="1" x14ac:dyDescent="0.3">
      <c r="A3" s="2">
        <v>44461.751666666663</v>
      </c>
      <c r="B3" s="3" t="s">
        <v>26</v>
      </c>
      <c r="C3" s="16">
        <v>-500</v>
      </c>
      <c r="D3" s="14">
        <v>11.24</v>
      </c>
      <c r="E3" t="s">
        <v>27</v>
      </c>
      <c r="F3" s="14">
        <v>230</v>
      </c>
      <c r="G3" s="2">
        <v>44484.166666666664</v>
      </c>
    </row>
    <row r="4" spans="1:9" ht="14.4" customHeight="1" x14ac:dyDescent="0.3">
      <c r="A4" s="2">
        <v>44468.819895833331</v>
      </c>
      <c r="B4" s="3" t="s">
        <v>33</v>
      </c>
      <c r="C4" s="16">
        <v>-1000000</v>
      </c>
      <c r="D4" s="14">
        <v>1.0217779999999999E-2</v>
      </c>
      <c r="E4" t="s">
        <v>34</v>
      </c>
      <c r="F4" s="14">
        <v>0.87</v>
      </c>
      <c r="G4" s="2">
        <v>44560</v>
      </c>
    </row>
    <row r="5" spans="1:9" ht="14.4" customHeight="1" x14ac:dyDescent="0.3">
      <c r="A5" s="2">
        <v>44468.819895833331</v>
      </c>
      <c r="B5" s="3" t="s">
        <v>33</v>
      </c>
      <c r="C5" s="16">
        <v>-1000000</v>
      </c>
      <c r="D5" s="14">
        <v>3.3080000000000002E-3</v>
      </c>
      <c r="E5" t="s">
        <v>27</v>
      </c>
      <c r="F5" s="14">
        <v>0.84499999999999997</v>
      </c>
      <c r="G5" s="2">
        <v>44560</v>
      </c>
    </row>
    <row r="6" spans="1:9" x14ac:dyDescent="0.3">
      <c r="A6" s="2">
        <v>44474.626956018517</v>
      </c>
      <c r="B6" s="3" t="s">
        <v>36</v>
      </c>
      <c r="C6" s="16">
        <v>1000</v>
      </c>
      <c r="D6" s="14">
        <v>49.93</v>
      </c>
    </row>
    <row r="7" spans="1:9" x14ac:dyDescent="0.3">
      <c r="A7" s="2">
        <v>44475.780347222222</v>
      </c>
      <c r="B7" s="3" t="s">
        <v>26</v>
      </c>
      <c r="C7" s="16">
        <v>500</v>
      </c>
      <c r="D7" s="14">
        <v>0.04</v>
      </c>
      <c r="E7" t="s">
        <v>34</v>
      </c>
      <c r="F7" s="14">
        <v>240</v>
      </c>
      <c r="G7" s="2">
        <v>44484</v>
      </c>
    </row>
    <row r="8" spans="1:9" x14ac:dyDescent="0.3">
      <c r="A8" s="2">
        <v>44475.780347222222</v>
      </c>
      <c r="B8" s="3" t="s">
        <v>26</v>
      </c>
      <c r="C8" s="16">
        <v>-500</v>
      </c>
      <c r="D8" s="14">
        <v>0.31</v>
      </c>
      <c r="E8" t="s">
        <v>34</v>
      </c>
      <c r="F8" s="14">
        <v>230</v>
      </c>
      <c r="G8" s="2">
        <v>44484</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9E94-4B1E-4250-B029-297E788FAC67}">
  <sheetPr codeName="Sheet4"/>
  <dimension ref="A1:V32"/>
  <sheetViews>
    <sheetView zoomScaleNormal="100" workbookViewId="0">
      <selection activeCell="H16" sqref="H16"/>
    </sheetView>
  </sheetViews>
  <sheetFormatPr defaultRowHeight="14.4" x14ac:dyDescent="0.3"/>
  <cols>
    <col min="2" max="2" width="10.44140625" style="16" customWidth="1"/>
    <col min="3" max="3" width="16.5546875" style="14" customWidth="1"/>
    <col min="5" max="5" width="8.88671875" style="14"/>
    <col min="6" max="6" width="11.33203125" customWidth="1"/>
    <col min="7" max="7" width="10.5546875" style="4" bestFit="1" customWidth="1"/>
    <col min="8" max="8" width="10.5546875" bestFit="1" customWidth="1"/>
    <col min="9" max="9" width="10.88671875" customWidth="1"/>
    <col min="10" max="10" width="10.5546875" bestFit="1" customWidth="1"/>
    <col min="11" max="11" width="8.88671875" style="19"/>
    <col min="12" max="12" width="10.5546875" bestFit="1" customWidth="1"/>
  </cols>
  <sheetData>
    <row r="1" spans="1:22" x14ac:dyDescent="0.3">
      <c r="A1" s="11" t="s">
        <v>1</v>
      </c>
      <c r="B1" s="15" t="s">
        <v>8</v>
      </c>
      <c r="C1" s="13" t="s">
        <v>2</v>
      </c>
      <c r="D1" s="11" t="s">
        <v>7</v>
      </c>
      <c r="E1" s="13" t="s">
        <v>6</v>
      </c>
      <c r="F1" s="11" t="s">
        <v>5</v>
      </c>
      <c r="G1" s="5"/>
      <c r="H1" s="8" t="s">
        <v>1</v>
      </c>
      <c r="I1" s="12" t="s">
        <v>0</v>
      </c>
      <c r="J1" s="11" t="s">
        <v>7</v>
      </c>
      <c r="K1" s="18" t="s">
        <v>6</v>
      </c>
      <c r="L1" s="11" t="s">
        <v>5</v>
      </c>
    </row>
    <row r="2" spans="1:22" x14ac:dyDescent="0.3">
      <c r="F2" s="2"/>
      <c r="H2" s="4"/>
      <c r="I2" s="2"/>
      <c r="J2" s="1"/>
      <c r="L2" s="2"/>
    </row>
    <row r="3" spans="1:22" x14ac:dyDescent="0.3">
      <c r="F3" s="2"/>
      <c r="H3" s="4"/>
      <c r="I3" s="2"/>
    </row>
    <row r="4" spans="1:22" x14ac:dyDescent="0.3">
      <c r="H4" s="4"/>
    </row>
    <row r="5" spans="1:22" ht="14.4" customHeight="1" x14ac:dyDescent="0.3">
      <c r="H5" s="4"/>
    </row>
    <row r="6" spans="1:22" x14ac:dyDescent="0.3">
      <c r="H6" s="4"/>
    </row>
    <row r="7" spans="1:22" x14ac:dyDescent="0.3">
      <c r="H7" s="4"/>
    </row>
    <row r="8" spans="1:22" x14ac:dyDescent="0.3">
      <c r="H8" s="4"/>
    </row>
    <row r="9" spans="1:22" ht="14.4" customHeight="1" x14ac:dyDescent="0.3">
      <c r="H9" s="4"/>
    </row>
    <row r="10" spans="1:22" x14ac:dyDescent="0.3">
      <c r="H10" s="4"/>
    </row>
    <row r="11" spans="1:22" x14ac:dyDescent="0.3">
      <c r="H11" s="4"/>
    </row>
    <row r="12" spans="1:22" ht="14.4" customHeight="1" x14ac:dyDescent="0.3">
      <c r="H12" s="4"/>
    </row>
    <row r="13" spans="1:22" x14ac:dyDescent="0.3">
      <c r="H13" s="4"/>
    </row>
    <row r="14" spans="1:22" x14ac:dyDescent="0.3">
      <c r="H14" s="4"/>
      <c r="Q14" s="6"/>
      <c r="R14" s="6"/>
      <c r="S14" s="6"/>
      <c r="T14" s="6"/>
      <c r="U14" s="6"/>
      <c r="V14" s="6"/>
    </row>
    <row r="15" spans="1:22" x14ac:dyDescent="0.3">
      <c r="H15" s="4"/>
    </row>
    <row r="16" spans="1:22" x14ac:dyDescent="0.3">
      <c r="H16" s="4"/>
    </row>
    <row r="17" spans="3:8" x14ac:dyDescent="0.3">
      <c r="H17" s="4"/>
    </row>
    <row r="18" spans="3:8" x14ac:dyDescent="0.3">
      <c r="H18" s="4"/>
    </row>
    <row r="19" spans="3:8" x14ac:dyDescent="0.3">
      <c r="H19" s="4"/>
    </row>
    <row r="20" spans="3:8" x14ac:dyDescent="0.3">
      <c r="C20" s="13"/>
      <c r="D20" s="9"/>
      <c r="H20" s="4"/>
    </row>
    <row r="21" spans="3:8" x14ac:dyDescent="0.3">
      <c r="D21" s="2"/>
      <c r="H21" s="4"/>
    </row>
    <row r="22" spans="3:8" x14ac:dyDescent="0.3">
      <c r="H22" s="4"/>
    </row>
    <row r="23" spans="3:8" x14ac:dyDescent="0.3">
      <c r="H23" s="4"/>
    </row>
    <row r="24" spans="3:8" x14ac:dyDescent="0.3">
      <c r="H24" s="4"/>
    </row>
    <row r="25" spans="3:8" x14ac:dyDescent="0.3">
      <c r="H25" s="4"/>
    </row>
    <row r="26" spans="3:8" x14ac:dyDescent="0.3">
      <c r="H26" s="4"/>
    </row>
    <row r="27" spans="3:8" x14ac:dyDescent="0.3">
      <c r="H27" s="4"/>
    </row>
    <row r="28" spans="3:8" x14ac:dyDescent="0.3">
      <c r="H28" s="4"/>
    </row>
    <row r="29" spans="3:8" x14ac:dyDescent="0.3">
      <c r="H29" s="4"/>
    </row>
    <row r="30" spans="3:8" x14ac:dyDescent="0.3">
      <c r="H30" s="4"/>
    </row>
    <row r="31" spans="3:8" x14ac:dyDescent="0.3">
      <c r="H31" s="4"/>
    </row>
    <row r="32" spans="3:8" x14ac:dyDescent="0.3">
      <c r="H32" s="4"/>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EE90-3EB4-4196-A288-82414D4B23BD}">
  <sheetPr codeName="Sheet6"/>
  <dimension ref="A1:B3"/>
  <sheetViews>
    <sheetView workbookViewId="0">
      <selection sqref="A1:A2"/>
    </sheetView>
  </sheetViews>
  <sheetFormatPr defaultRowHeight="14.4" x14ac:dyDescent="0.3"/>
  <cols>
    <col min="1" max="1" width="11.5546875" customWidth="1"/>
    <col min="2" max="2" width="10.88671875" customWidth="1"/>
  </cols>
  <sheetData>
    <row r="1" spans="1:2" x14ac:dyDescent="0.3">
      <c r="A1" s="12"/>
      <c r="B1" s="12"/>
    </row>
    <row r="2" spans="1:2" x14ac:dyDescent="0.3">
      <c r="A2" s="2"/>
      <c r="B2" s="2"/>
    </row>
    <row r="3" spans="1:2" x14ac:dyDescent="0.3">
      <c r="A3" s="2"/>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C0828-0934-4089-823A-BBE61CD4C910}">
  <sheetPr codeName="Sheet1"/>
  <dimension ref="M3:S18"/>
  <sheetViews>
    <sheetView zoomScaleNormal="100" workbookViewId="0">
      <selection activeCell="M16" sqref="M16"/>
    </sheetView>
  </sheetViews>
  <sheetFormatPr defaultRowHeight="14.4" x14ac:dyDescent="0.3"/>
  <cols>
    <col min="14" max="14" width="11.44140625" style="16" customWidth="1"/>
    <col min="15" max="15" width="11.33203125" style="16" customWidth="1"/>
    <col min="16" max="16" width="11.109375" style="16" customWidth="1"/>
    <col min="17" max="17" width="15.44140625" style="16" customWidth="1"/>
    <col min="18" max="18" width="12" style="16" customWidth="1"/>
    <col min="19" max="19" width="12.5546875" style="16" customWidth="1"/>
  </cols>
  <sheetData>
    <row r="3" spans="13:19" ht="15" thickBot="1" x14ac:dyDescent="0.35"/>
    <row r="4" spans="13:19" ht="15" thickBot="1" x14ac:dyDescent="0.35">
      <c r="M4" s="23" t="s">
        <v>37</v>
      </c>
      <c r="N4" s="24"/>
      <c r="O4" s="25"/>
      <c r="P4" s="27"/>
    </row>
    <row r="5" spans="13:19" ht="15" thickBot="1" x14ac:dyDescent="0.35">
      <c r="M5" s="21"/>
      <c r="N5" s="21"/>
      <c r="O5" s="22"/>
      <c r="P5" s="22"/>
    </row>
    <row r="6" spans="13:19" ht="15" thickBot="1" x14ac:dyDescent="0.35">
      <c r="M6" s="23" t="s">
        <v>38</v>
      </c>
      <c r="N6" s="24"/>
      <c r="O6" s="25"/>
      <c r="P6" s="26"/>
    </row>
    <row r="14" spans="13:19" ht="15" thickBot="1" x14ac:dyDescent="0.35"/>
    <row r="15" spans="13:19" x14ac:dyDescent="0.3">
      <c r="M15" s="28" t="s">
        <v>1</v>
      </c>
      <c r="N15" s="29" t="s">
        <v>20</v>
      </c>
      <c r="O15" s="29" t="s">
        <v>17</v>
      </c>
      <c r="P15" s="29" t="s">
        <v>28</v>
      </c>
      <c r="Q15" s="29" t="s">
        <v>18</v>
      </c>
      <c r="R15" s="29" t="s">
        <v>19</v>
      </c>
      <c r="S15" s="30" t="s">
        <v>35</v>
      </c>
    </row>
    <row r="16" spans="13:19" x14ac:dyDescent="0.3">
      <c r="N16"/>
      <c r="O16"/>
      <c r="P16"/>
      <c r="Q16"/>
      <c r="R16"/>
      <c r="S16"/>
    </row>
    <row r="17" customFormat="1" x14ac:dyDescent="0.3"/>
    <row r="18" customFormat="1" x14ac:dyDescent="0.3"/>
  </sheetData>
  <mergeCells count="2">
    <mergeCell ref="M4:N4"/>
    <mergeCell ref="M6:N6"/>
  </mergeCells>
  <dataValidations count="1">
    <dataValidation type="list" allowBlank="1" showInputMessage="1" showErrorMessage="1" sqref="P6" xr:uid="{78EA4470-DC8E-451B-87F4-3BD8FEBD0CC8}">
      <formula1>"EEM,EURGBP,IWM"</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9186340-B2C6-463E-AB38-CB8AB7EB036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Control</vt:lpstr>
      <vt:lpstr>Summary</vt:lpstr>
      <vt:lpstr>Flash</vt:lpstr>
      <vt:lpstr>Past_Transactions</vt:lpstr>
      <vt:lpstr>Open_Transactions</vt:lpstr>
      <vt:lpstr>Insert_Update</vt:lpstr>
      <vt:lpstr>Delete</vt:lpstr>
      <vt:lpstr>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Kimberly Zhang</dc:creator>
  <cp:lastModifiedBy>Kimberly Zhang</cp:lastModifiedBy>
  <dcterms:created xsi:type="dcterms:W3CDTF">2020-12-22T16:22:33Z</dcterms:created>
  <dcterms:modified xsi:type="dcterms:W3CDTF">2021-10-09T22:05:16Z</dcterms:modified>
</cp:coreProperties>
</file>