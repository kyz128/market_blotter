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Kimberly Zhang\Documents\Market_Blotter\"/>
    </mc:Choice>
  </mc:AlternateContent>
  <xr:revisionPtr revIDLastSave="0" documentId="13_ncr:1_{C744F5C3-5634-42CF-B16C-0A84D35B907D}" xr6:coauthVersionLast="47" xr6:coauthVersionMax="47" xr10:uidLastSave="{00000000-0000-0000-0000-000000000000}"/>
  <bookViews>
    <workbookView xWindow="-108" yWindow="-108" windowWidth="23256" windowHeight="12576" xr2:uid="{970416E9-56B8-4980-9AB3-C3E5A2F1DD1C}"/>
  </bookViews>
  <sheets>
    <sheet name="Control" sheetId="9" r:id="rId1"/>
    <sheet name="Summary" sheetId="1" r:id="rId2"/>
    <sheet name="Flash" sheetId="8" r:id="rId3"/>
    <sheet name="Past_Transactions" sheetId="10" r:id="rId4"/>
    <sheet name="Open_Transactions" sheetId="3" r:id="rId5"/>
    <sheet name="Insert_Update" sheetId="4" r:id="rId6"/>
    <sheet name="Delete" sheetId="7" r:id="rId7"/>
    <sheet name="Chart" sheetId="5" r:id="rId8"/>
  </sheet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7" i="1" l="1"/>
  <c r="L7" i="1"/>
  <c r="M7" i="1"/>
  <c r="N7" i="1"/>
  <c r="K8" i="1"/>
  <c r="L8" i="1"/>
  <c r="M8" i="1"/>
  <c r="N8" i="1"/>
  <c r="K9" i="1"/>
  <c r="L9" i="1"/>
  <c r="M9" i="1"/>
  <c r="N9" i="1"/>
  <c r="K10" i="1"/>
  <c r="L10" i="1"/>
  <c r="M10" i="1"/>
  <c r="N10" i="1"/>
  <c r="B1" i="1" a="1"/>
  <c r="B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16F41B9-9FDE-4032-B805-E393F0FD0ACB}" keepAlive="1" name="Query - transactions" description="Connection to the 'transactions' query in the workbook." type="5" refreshedVersion="6" background="1" saveData="1">
    <dbPr connection="Provider=Microsoft.Mashup.OleDb.1;Data Source=$Workbook$;Location=transactions;Extended Properties=&quot;&quot;" command="SELECT * FROM [transaction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<sst xmlns="http://schemas.openxmlformats.org/spreadsheetml/2006/main" count="108" uniqueCount="41">
  <si>
    <t>start_date</t>
  </si>
  <si>
    <t>ticker</t>
  </si>
  <si>
    <t>start_price</t>
  </si>
  <si>
    <t>current_price</t>
  </si>
  <si>
    <t>delta</t>
  </si>
  <si>
    <t>expiry</t>
  </si>
  <si>
    <t>strike</t>
  </si>
  <si>
    <t>c/p</t>
  </si>
  <si>
    <t>position</t>
  </si>
  <si>
    <t>gamma</t>
  </si>
  <si>
    <t>vega</t>
  </si>
  <si>
    <t>theta</t>
  </si>
  <si>
    <t>implied_vol</t>
  </si>
  <si>
    <t>Risk-free rate</t>
  </si>
  <si>
    <t>price_change</t>
  </si>
  <si>
    <t>vol_pct_chg</t>
  </si>
  <si>
    <t>type</t>
  </si>
  <si>
    <t>delta_live</t>
  </si>
  <si>
    <t>gamma_delivery</t>
  </si>
  <si>
    <t>vega_flash</t>
  </si>
  <si>
    <t>total_flash</t>
  </si>
  <si>
    <t>XAUUSD</t>
  </si>
  <si>
    <t>AUDJPY</t>
  </si>
  <si>
    <t>close_price</t>
  </si>
  <si>
    <t>close_date</t>
  </si>
  <si>
    <t>pnl</t>
  </si>
  <si>
    <t>IWM</t>
  </si>
  <si>
    <t>p</t>
  </si>
  <si>
    <t>delta_flash</t>
  </si>
  <si>
    <t>CADJPY</t>
  </si>
  <si>
    <t>USDCAD</t>
  </si>
  <si>
    <t>close_position</t>
  </si>
  <si>
    <t>EURRUB</t>
  </si>
  <si>
    <t>EURGBP</t>
  </si>
  <si>
    <t>c</t>
  </si>
  <si>
    <t>curncy</t>
  </si>
  <si>
    <t>equity</t>
  </si>
  <si>
    <t>theta_flash</t>
  </si>
  <si>
    <t>EEM</t>
  </si>
  <si>
    <t>Date to Query</t>
  </si>
  <si>
    <t>Ticker to Query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</si>
</sst>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Red]\(0.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4">
    <xf numFmtId="0" fontId="0" fillId="0" borderId="0" xfId="0"/>
    <xf numFmtId="0" fontId="1" fillId="0" borderId="0" xfId="0" applyFont="1" applyAlignment="1">
      <alignment horizontal="center"/>
    </xf>
    <xf numFmtId="2" fontId="0" fillId="0" borderId="0" xfId="0" applyNumberFormat="1"/>
    <xf numFmtId="14" fontId="0" fillId="0" borderId="0" xfId="0" applyNumberFormat="1"/>
    <xf numFmtId="49" fontId="0" fillId="0" borderId="0" xfId="0" applyNumberFormat="1"/>
    <xf numFmtId="0" fontId="0" fillId="0" borderId="0" xfId="0" applyNumberFormat="1"/>
    <xf numFmtId="0" fontId="1" fillId="0" borderId="0" xfId="0" applyNumberFormat="1" applyFont="1"/>
    <xf numFmtId="0" fontId="0" fillId="0" borderId="0" xfId="0" applyAlignment="1">
      <alignment wrapText="1"/>
    </xf>
    <xf numFmtId="0" fontId="1" fillId="0" borderId="0" xfId="0" applyFont="1" applyAlignment="1">
      <alignment horizontal="center"/>
    </xf>
    <xf numFmtId="2" fontId="1" fillId="0" borderId="0" xfId="0" applyNumberFormat="1" applyFont="1" applyAlignment="1">
      <alignment horizontal="center"/>
    </xf>
    <xf numFmtId="14" fontId="1" fillId="0" borderId="0" xfId="0" applyNumberFormat="1" applyFont="1" applyAlignment="1">
      <alignment horizontal="center"/>
    </xf>
    <xf numFmtId="49" fontId="1" fillId="0" borderId="0" xfId="0" applyNumberFormat="1" applyFont="1" applyAlignment="1">
      <alignment horizontal="center"/>
    </xf>
    <xf numFmtId="0" fontId="1" fillId="0" borderId="0" xfId="0" applyFont="1" applyAlignment="1">
      <alignment horizontal="center"/>
    </xf>
    <xf numFmtId="0" fontId="1" fillId="0" borderId="0" xfId="0" applyFont="1"/>
    <xf numFmtId="40" fontId="1" fillId="0" borderId="0" xfId="0" applyNumberFormat="1" applyFont="1" applyAlignment="1">
      <alignment horizontal="center"/>
    </xf>
    <xf numFmtId="40" fontId="0" fillId="0" borderId="0" xfId="0" applyNumberFormat="1"/>
    <xf numFmtId="38" fontId="1" fillId="0" borderId="0" xfId="0" applyNumberFormat="1" applyFont="1" applyAlignment="1">
      <alignment horizontal="center"/>
    </xf>
    <xf numFmtId="38" fontId="0" fillId="0" borderId="0" xfId="0" applyNumberFormat="1"/>
    <xf numFmtId="40" fontId="0" fillId="0" borderId="0" xfId="0" applyNumberFormat="1" applyAlignment="1">
      <alignment wrapText="1"/>
    </xf>
    <xf numFmtId="164" fontId="1" fillId="0" borderId="0" xfId="0" applyNumberFormat="1" applyFont="1" applyAlignment="1">
      <alignment horizontal="center"/>
    </xf>
    <xf numFmtId="164" fontId="0" fillId="0" borderId="0" xfId="0" applyNumberFormat="1"/>
    <xf numFmtId="0" fontId="0" fillId="0" borderId="0" xfId="0" applyAlignment="1"/>
    <xf numFmtId="0" fontId="1" fillId="0" borderId="0" xfId="0" applyFont="1" applyAlignment="1">
      <alignment horizontal="center"/>
    </xf>
    <xf numFmtId="14" fontId="0" fillId="0" borderId="0" xfId="0" applyNumberFormat="1" applyAlignment="1">
      <alignment horizontal="center" vertical="center"/>
    </xf>
  </cellXfs>
  <cellStyles count="1">
    <cellStyle name="Normal" xfId="0" builtinId="0"/>
  </cellStyles>
  <dxfs count="0"/>
  <tableStyles count="0" defaultTableStyle="TableStyleMedium2" defaultPivotStyle="PivotStyleLight16"/>
  <colors>
    <mruColors>
      <color rgb="FFD5BE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v>1.49</v>
        <stp/>
        <stp>##V3_BDPV12</stp>
        <stp>usswap10Y curncy</stp>
        <stp>px_close_1d</stp>
        <stp>[excel_interface.xlsm]Summary!R1C2</stp>
        <tr r="B1" s="1"/>
      </tp>
    </main>
    <main first="bloomberg.rtd">
      <tp>
        <v>-4.8118010000000001E-3</v>
        <stp/>
        <stp>##V3_BDPV12</stp>
        <stp>IWM 10/15/21 c240.0 equity</stp>
        <stp>opt_theta</stp>
        <stp>[excel_interface.xlsm]Summary!R8C14</stp>
        <stp>opt_valuation_dt</stp>
        <stp>20211007</stp>
        <tr r="N8" s="1"/>
      </tp>
      <tp>
        <v>-3.4042210000000003E-2</v>
        <stp/>
        <stp>##V3_BDPV12</stp>
        <stp>IWM 10/15/21 c230.0 equity</stp>
        <stp>opt_theta</stp>
        <stp>[excel_interface.xlsm]Summary!R7C14</stp>
        <stp>opt_valuation_dt</stp>
        <stp>20211007</stp>
        <tr r="N7" s="1"/>
      </tp>
      <tp>
        <v>-0.16312660000000001</v>
        <stp/>
        <stp>##V3_BDPV12</stp>
        <stp>IWM 10/15/21 p220.0 equity</stp>
        <stp>opt_theta</stp>
        <stp>[excel_interface.xlsm]Summary!R9C14</stp>
        <stp>opt_valuation_dt</stp>
        <stp>20211007</stp>
        <tr r="N9" s="1"/>
      </tp>
      <tp>
        <v>4.474757E-2</v>
        <stp/>
        <stp>##V3_BDPV12</stp>
        <stp>IWM 10/15/21 p230.0 equity</stp>
        <stp>gamma</stp>
        <stp>[excel_interface.xlsm]Summary!R10C12</stp>
        <stp>opt_valuation_dt</stp>
        <stp>20211007</stp>
        <tr r="L10" s="1"/>
      </tp>
      <tp>
        <v>-0.95363980000000004</v>
        <stp/>
        <stp>##V3_BDPV12</stp>
        <stp>IWM 10/15/21 p230.0 equity</stp>
        <stp>delta</stp>
        <stp>[excel_interface.xlsm]Summary!R10C11</stp>
        <stp>opt_valuation_dt</stp>
        <stp>20211007</stp>
        <tr r="K10" s="1"/>
      </tp>
      <tp>
        <v>-2.8149790000000001E-2</v>
        <stp/>
        <stp>##V3_BDPV12</stp>
        <stp>IWM 10/15/21 p230.0 equity</stp>
        <stp>opt_theta</stp>
        <stp>[excel_interface.xlsm]Summary!R10C14</stp>
        <stp>opt_valuation_dt</stp>
        <stp>20211007</stp>
        <tr r="N10" s="1"/>
      </tp>
      <tp>
        <v>4.5174799999999999E-3</v>
        <stp/>
        <stp>##V3_BDPV12</stp>
        <stp>IWM 10/15/21 c240.0 equity</stp>
        <stp>vega</stp>
        <stp>[excel_interface.xlsm]Summary!R8C13</stp>
        <stp>opt_valuation_dt</stp>
        <stp>20211007</stp>
        <tr r="M8" s="1"/>
      </tp>
      <tp>
        <v>0.12660150000000001</v>
        <stp/>
        <stp>##V3_BDPV12</stp>
        <stp>IWM 10/15/21 p220.0 equity</stp>
        <stp>vega</stp>
        <stp>[excel_interface.xlsm]Summary!R9C13</stp>
        <stp>opt_valuation_dt</stp>
        <stp>20211007</stp>
        <tr r="M9" s="1"/>
      </tp>
      <tp>
        <v>3.6707289999999997E-2</v>
        <stp/>
        <stp>##V3_BDPV12</stp>
        <stp>IWM 10/15/21 c230.0 equity</stp>
        <stp>vega</stp>
        <stp>[excel_interface.xlsm]Summary!R7C13</stp>
        <stp>opt_valuation_dt</stp>
        <stp>20211007</stp>
        <tr r="M7" s="1"/>
      </tp>
      <tp>
        <v>4.5024649999999998E-3</v>
        <stp/>
        <stp>##V3_BDPV12</stp>
        <stp>IWM 10/15/21 c240.0 equity</stp>
        <stp>gamma</stp>
        <stp>[excel_interface.xlsm]Summary!R8C12</stp>
        <stp>opt_valuation_dt</stp>
        <stp>20211007</stp>
        <tr r="L8" s="1"/>
      </tp>
      <tp>
        <v>4.7336009999999996E-3</v>
        <stp/>
        <stp>##V3_BDPV12</stp>
        <stp>IWM 10/15/21 c240.0 equity</stp>
        <stp>delta</stp>
        <stp>[excel_interface.xlsm]Summary!R8C11</stp>
        <stp>opt_valuation_dt</stp>
        <stp>20211007</stp>
        <tr r="K8" s="1"/>
      </tp>
      <tp>
        <v>5.5411210000000002E-2</v>
        <stp/>
        <stp>##V3_BDPV12</stp>
        <stp>IWM 10/15/21 c230.0 equity</stp>
        <stp>delta</stp>
        <stp>[excel_interface.xlsm]Summary!R7C11</stp>
        <stp>opt_valuation_dt</stp>
        <stp>20211007</stp>
        <tr r="K7" s="1"/>
      </tp>
      <tp>
        <v>4.8223000000000002E-2</v>
        <stp/>
        <stp>##V3_BDPV12</stp>
        <stp>IWM 10/15/21 c230.0 equity</stp>
        <stp>gamma</stp>
        <stp>[excel_interface.xlsm]Summary!R7C12</stp>
        <stp>opt_valuation_dt</stp>
        <stp>20211007</stp>
        <tr r="L7" s="1"/>
      </tp>
      <tp>
        <v>0.13040969999999999</v>
        <stp/>
        <stp>##V3_BDPV12</stp>
        <stp>IWM 10/15/21 p220.0 equity</stp>
        <stp>gamma</stp>
        <stp>[excel_interface.xlsm]Summary!R9C12</stp>
        <stp>opt_valuation_dt</stp>
        <stp>20211007</stp>
        <tr r="L9" s="1"/>
      </tp>
      <tp>
        <v>-0.39838889999999999</v>
        <stp/>
        <stp>##V3_BDPV12</stp>
        <stp>IWM 10/15/21 p220.0 equity</stp>
        <stp>delta</stp>
        <stp>[excel_interface.xlsm]Summary!R9C11</stp>
        <stp>opt_valuation_dt</stp>
        <stp>20211007</stp>
        <tr r="K9" s="1"/>
      </tp>
      <tp>
        <v>3.1947160000000002E-2</v>
        <stp/>
        <stp>##V3_BDPV12</stp>
        <stp>IWM 10/15/21 p230.0 equity</stp>
        <stp>vega</stp>
        <stp>[excel_interface.xlsm]Summary!R10C13</stp>
        <stp>opt_valuation_dt</stp>
        <stp>20211007</stp>
        <tr r="M10"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15240</xdr:rowOff>
    </xdr:from>
    <xdr:to>
      <xdr:col>3</xdr:col>
      <xdr:colOff>7620</xdr:colOff>
      <xdr:row>5</xdr:row>
      <xdr:rowOff>0</xdr:rowOff>
    </xdr:to>
    <xdr:sp macro="[0]!RetrieveRisk" textlink="">
      <xdr:nvSpPr>
        <xdr:cNvPr id="2" name="Rectangle: Single Corner Snipped 1">
          <a:extLst>
            <a:ext uri="{FF2B5EF4-FFF2-40B4-BE49-F238E27FC236}">
              <a16:creationId xmlns:a16="http://schemas.microsoft.com/office/drawing/2014/main" id="{00000000-0008-0000-0000-000002000000}"/>
            </a:ext>
          </a:extLst>
        </xdr:cNvPr>
        <xdr:cNvSpPr/>
      </xdr:nvSpPr>
      <xdr:spPr>
        <a:xfrm>
          <a:off x="609600" y="381000"/>
          <a:ext cx="1226820" cy="533400"/>
        </a:xfrm>
        <a:prstGeom prst="snip1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ctr"/>
          <a:r>
            <a:rPr lang="en-US" sz="1100"/>
            <a:t>Calculate</a:t>
          </a:r>
          <a:r>
            <a:rPr lang="en-US" sz="1100" baseline="0"/>
            <a:t> Risks</a:t>
          </a:r>
        </a:p>
        <a:p>
          <a:pPr algn="l"/>
          <a:endParaRPr lang="en-US" sz="1100"/>
        </a:p>
      </xdr:txBody>
    </xdr:sp>
    <xdr:clientData/>
  </xdr:twoCellAnchor>
  <xdr:twoCellAnchor>
    <xdr:from>
      <xdr:col>0</xdr:col>
      <xdr:colOff>601980</xdr:colOff>
      <xdr:row>8</xdr:row>
      <xdr:rowOff>175260</xdr:rowOff>
    </xdr:from>
    <xdr:to>
      <xdr:col>3</xdr:col>
      <xdr:colOff>7620</xdr:colOff>
      <xdr:row>11</xdr:row>
      <xdr:rowOff>167640</xdr:rowOff>
    </xdr:to>
    <xdr:sp macro="[0]!CalcFlash" textlink="">
      <xdr:nvSpPr>
        <xdr:cNvPr id="7" name="Rectangle: Single Corner Snipped 6">
          <a:extLst>
            <a:ext uri="{FF2B5EF4-FFF2-40B4-BE49-F238E27FC236}">
              <a16:creationId xmlns:a16="http://schemas.microsoft.com/office/drawing/2014/main" id="{00000000-0008-0000-0000-000007000000}"/>
            </a:ext>
          </a:extLst>
        </xdr:cNvPr>
        <xdr:cNvSpPr/>
      </xdr:nvSpPr>
      <xdr:spPr>
        <a:xfrm>
          <a:off x="601980" y="1638300"/>
          <a:ext cx="1234440" cy="541020"/>
        </a:xfrm>
        <a:prstGeom prst="snip1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ctr"/>
          <a:r>
            <a:rPr lang="en-US" sz="1100"/>
            <a:t>Calculate</a:t>
          </a:r>
          <a:r>
            <a:rPr lang="en-US" sz="1100" baseline="0"/>
            <a:t> Flash</a:t>
          </a:r>
        </a:p>
        <a:p>
          <a:pPr algn="l"/>
          <a:endParaRPr lang="en-US" sz="1100"/>
        </a:p>
      </xdr:txBody>
    </xdr:sp>
    <xdr:clientData/>
  </xdr:twoCellAnchor>
  <xdr:twoCellAnchor>
    <xdr:from>
      <xdr:col>4</xdr:col>
      <xdr:colOff>601980</xdr:colOff>
      <xdr:row>0</xdr:row>
      <xdr:rowOff>175260</xdr:rowOff>
    </xdr:from>
    <xdr:to>
      <xdr:col>13</xdr:col>
      <xdr:colOff>0</xdr:colOff>
      <xdr:row>7</xdr:row>
      <xdr:rowOff>7620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040380" y="175260"/>
          <a:ext cx="4884420" cy="1112520"/>
        </a:xfrm>
        <a:prstGeom prst="rect">
          <a:avLst/>
        </a:prstGeom>
        <a:solidFill>
          <a:schemeClr val="accent5">
            <a:lumMod val="20000"/>
            <a:lumOff val="80000"/>
          </a:schemeClr>
        </a:solidFill>
        <a:ln w="9525" cmpd="sng">
          <a:solidFill>
            <a:schemeClr val="tx2">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cap="none" spc="0">
              <a:ln w="0"/>
              <a:solidFill>
                <a:schemeClr val="accent1"/>
              </a:solidFill>
              <a:effectLst>
                <a:outerShdw blurRad="38100" dist="25400" dir="5400000" algn="ctr" rotWithShape="0">
                  <a:srgbClr val="6E747A">
                    <a:alpha val="43000"/>
                  </a:srgbClr>
                </a:outerShdw>
              </a:effectLst>
            </a:rPr>
            <a:t>Summary</a:t>
          </a:r>
          <a:r>
            <a:rPr lang="en-US" sz="1100" b="0" cap="none" spc="0" baseline="0">
              <a:ln w="0"/>
              <a:solidFill>
                <a:schemeClr val="accent1"/>
              </a:solidFill>
              <a:effectLst>
                <a:outerShdw blurRad="38100" dist="25400" dir="5400000" algn="ctr" rotWithShape="0">
                  <a:srgbClr val="6E747A">
                    <a:alpha val="43000"/>
                  </a:srgbClr>
                </a:outerShdw>
              </a:effectLst>
            </a:rPr>
            <a:t> Tab: </a:t>
          </a:r>
        </a:p>
        <a:p>
          <a:r>
            <a:rPr lang="en-US" sz="1100"/>
            <a:t>The summary</a:t>
          </a:r>
          <a:r>
            <a:rPr lang="en-US" sz="1100" baseline="0"/>
            <a:t> tab shows the market risks for all open transactions. Hitting the "Calculate Risks" button to the left will trigger the run. Note you must be logged into Bloomberg for this feature to work. </a:t>
          </a:r>
          <a:endParaRPr lang="en-US" sz="1100"/>
        </a:p>
      </xdr:txBody>
    </xdr:sp>
    <xdr:clientData/>
  </xdr:twoCellAnchor>
  <xdr:twoCellAnchor>
    <xdr:from>
      <xdr:col>4</xdr:col>
      <xdr:colOff>601980</xdr:colOff>
      <xdr:row>7</xdr:row>
      <xdr:rowOff>167640</xdr:rowOff>
    </xdr:from>
    <xdr:to>
      <xdr:col>12</xdr:col>
      <xdr:colOff>601980</xdr:colOff>
      <xdr:row>14</xdr:row>
      <xdr:rowOff>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3040380" y="1447800"/>
          <a:ext cx="4876800" cy="111252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cap="none" spc="0">
              <a:ln w="0"/>
              <a:solidFill>
                <a:schemeClr val="accent1"/>
              </a:solidFill>
              <a:effectLst>
                <a:outerShdw blurRad="38100" dist="25400" dir="5400000" algn="ctr" rotWithShape="0">
                  <a:srgbClr val="6E747A">
                    <a:alpha val="43000"/>
                  </a:srgbClr>
                </a:outerShdw>
              </a:effectLst>
            </a:rPr>
            <a:t>Flash Tab: </a:t>
          </a:r>
        </a:p>
        <a:p>
          <a:r>
            <a:rPr lang="en-US" sz="1100"/>
            <a:t>The</a:t>
          </a:r>
          <a:r>
            <a:rPr lang="en-US" sz="1100" baseline="0"/>
            <a:t> flash tab aggregates the market risks for each trade asset and shows the estimated daily PnL from holding the positions. Hitting the "Calculate Flash" button will trigger the run. Go to the worksheet to sense check the results and hit the "Insert Snap" button to save the flash to Mongo. </a:t>
          </a:r>
          <a:endParaRPr lang="en-US" sz="1100"/>
        </a:p>
      </xdr:txBody>
    </xdr:sp>
    <xdr:clientData/>
  </xdr:twoCellAnchor>
  <xdr:twoCellAnchor>
    <xdr:from>
      <xdr:col>5</xdr:col>
      <xdr:colOff>7620</xdr:colOff>
      <xdr:row>15</xdr:row>
      <xdr:rowOff>15240</xdr:rowOff>
    </xdr:from>
    <xdr:to>
      <xdr:col>13</xdr:col>
      <xdr:colOff>15240</xdr:colOff>
      <xdr:row>21</xdr:row>
      <xdr:rowOff>53340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055620" y="2758440"/>
          <a:ext cx="4884420" cy="113538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cap="none" spc="0">
              <a:ln w="0"/>
              <a:solidFill>
                <a:schemeClr val="accent1"/>
              </a:solidFill>
              <a:effectLst>
                <a:outerShdw blurRad="38100" dist="25400" dir="5400000" algn="ctr" rotWithShape="0">
                  <a:srgbClr val="6E747A">
                    <a:alpha val="43000"/>
                  </a:srgbClr>
                </a:outerShdw>
              </a:effectLst>
            </a:rPr>
            <a:t>Charts Tab:</a:t>
          </a:r>
        </a:p>
        <a:p>
          <a:r>
            <a:rPr lang="en-US" sz="1100"/>
            <a:t>The</a:t>
          </a:r>
          <a:r>
            <a:rPr lang="en-US" sz="1100" baseline="0"/>
            <a:t> charts tab gives an overview of portfolio performance. There are two parameters for the run: date gets defaulted to current day unless it is not a business day then it is the previous business day. The ticker dropdown shows the assets held on that day. If the date is changed, then clear out the dropdown value so that it will load the corresponding tickers. </a:t>
          </a:r>
          <a:endParaRPr lang="en-US" sz="1100"/>
        </a:p>
      </xdr:txBody>
    </xdr:sp>
    <xdr:clientData/>
  </xdr:twoCellAnchor>
  <xdr:twoCellAnchor>
    <xdr:from>
      <xdr:col>0</xdr:col>
      <xdr:colOff>601980</xdr:colOff>
      <xdr:row>16</xdr:row>
      <xdr:rowOff>0</xdr:rowOff>
    </xdr:from>
    <xdr:to>
      <xdr:col>3</xdr:col>
      <xdr:colOff>0</xdr:colOff>
      <xdr:row>19</xdr:row>
      <xdr:rowOff>0</xdr:rowOff>
    </xdr:to>
    <xdr:sp macro="[0]!Chart" textlink="">
      <xdr:nvSpPr>
        <xdr:cNvPr id="10" name="Rectangle: Single Corner Snipped 9">
          <a:extLst>
            <a:ext uri="{FF2B5EF4-FFF2-40B4-BE49-F238E27FC236}">
              <a16:creationId xmlns:a16="http://schemas.microsoft.com/office/drawing/2014/main" id="{00000000-0008-0000-0000-00000A000000}"/>
            </a:ext>
          </a:extLst>
        </xdr:cNvPr>
        <xdr:cNvSpPr/>
      </xdr:nvSpPr>
      <xdr:spPr>
        <a:xfrm>
          <a:off x="601980" y="2926080"/>
          <a:ext cx="1226820" cy="548640"/>
        </a:xfrm>
        <a:prstGeom prst="snip1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ctr"/>
          <a:r>
            <a:rPr lang="en-US" sz="1100" baseline="0"/>
            <a:t>Visualize</a:t>
          </a:r>
        </a:p>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586740</xdr:colOff>
      <xdr:row>0</xdr:row>
      <xdr:rowOff>175260</xdr:rowOff>
    </xdr:from>
    <xdr:to>
      <xdr:col>11</xdr:col>
      <xdr:colOff>68580</xdr:colOff>
      <xdr:row>2</xdr:row>
      <xdr:rowOff>160020</xdr:rowOff>
    </xdr:to>
    <xdr:sp macro="[0]!Snapshot" textlink="">
      <xdr:nvSpPr>
        <xdr:cNvPr id="2" name="Rectangle: Single Corner Snipped 1">
          <a:extLst>
            <a:ext uri="{FF2B5EF4-FFF2-40B4-BE49-F238E27FC236}">
              <a16:creationId xmlns:a16="http://schemas.microsoft.com/office/drawing/2014/main" id="{00000000-0008-0000-0200-000002000000}"/>
            </a:ext>
          </a:extLst>
        </xdr:cNvPr>
        <xdr:cNvSpPr/>
      </xdr:nvSpPr>
      <xdr:spPr>
        <a:xfrm>
          <a:off x="10355580" y="175260"/>
          <a:ext cx="1310640" cy="350520"/>
        </a:xfrm>
        <a:prstGeom prst="snip1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US" sz="1100" b="1"/>
            <a:t>Insert</a:t>
          </a:r>
          <a:r>
            <a:rPr lang="en-US" sz="1100" b="1" baseline="0"/>
            <a:t> Snap</a:t>
          </a: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601980</xdr:colOff>
      <xdr:row>0</xdr:row>
      <xdr:rowOff>160020</xdr:rowOff>
    </xdr:from>
    <xdr:to>
      <xdr:col>14</xdr:col>
      <xdr:colOff>45720</xdr:colOff>
      <xdr:row>3</xdr:row>
      <xdr:rowOff>38100</xdr:rowOff>
    </xdr:to>
    <xdr:sp macro="[0]!DisplayPast" textlink="">
      <xdr:nvSpPr>
        <xdr:cNvPr id="2" name="Rectangle: Top Corners One Rounded and One Snipped 1">
          <a:extLst>
            <a:ext uri="{FF2B5EF4-FFF2-40B4-BE49-F238E27FC236}">
              <a16:creationId xmlns:a16="http://schemas.microsoft.com/office/drawing/2014/main" id="{00000000-0008-0000-0300-000002000000}"/>
            </a:ext>
          </a:extLst>
        </xdr:cNvPr>
        <xdr:cNvSpPr/>
      </xdr:nvSpPr>
      <xdr:spPr>
        <a:xfrm>
          <a:off x="11193780" y="160020"/>
          <a:ext cx="1272540" cy="426720"/>
        </a:xfrm>
        <a:prstGeom prst="snip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b="1"/>
            <a:t>Refresh</a:t>
          </a:r>
        </a:p>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601980</xdr:colOff>
      <xdr:row>14</xdr:row>
      <xdr:rowOff>167640</xdr:rowOff>
    </xdr:from>
    <xdr:to>
      <xdr:col>12</xdr:col>
      <xdr:colOff>7620</xdr:colOff>
      <xdr:row>17</xdr:row>
      <xdr:rowOff>0</xdr:rowOff>
    </xdr:to>
    <xdr:sp macro="[0]!CloseTrans" textlink="">
      <xdr:nvSpPr>
        <xdr:cNvPr id="2" name="Rectangle: Single Corner Snipped 1">
          <a:extLst>
            <a:ext uri="{FF2B5EF4-FFF2-40B4-BE49-F238E27FC236}">
              <a16:creationId xmlns:a16="http://schemas.microsoft.com/office/drawing/2014/main" id="{00000000-0008-0000-0400-000002000000}"/>
            </a:ext>
          </a:extLst>
        </xdr:cNvPr>
        <xdr:cNvSpPr/>
      </xdr:nvSpPr>
      <xdr:spPr>
        <a:xfrm>
          <a:off x="10820400" y="2727960"/>
          <a:ext cx="1234440" cy="381000"/>
        </a:xfrm>
        <a:prstGeom prst="snip1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US" sz="1100" b="1"/>
            <a:t>Close</a:t>
          </a:r>
        </a:p>
      </xdr:txBody>
    </xdr:sp>
    <xdr:clientData/>
  </xdr:twoCellAnchor>
  <xdr:twoCellAnchor>
    <xdr:from>
      <xdr:col>13</xdr:col>
      <xdr:colOff>601980</xdr:colOff>
      <xdr:row>14</xdr:row>
      <xdr:rowOff>167640</xdr:rowOff>
    </xdr:from>
    <xdr:to>
      <xdr:col>16</xdr:col>
      <xdr:colOff>0</xdr:colOff>
      <xdr:row>16</xdr:row>
      <xdr:rowOff>175260</xdr:rowOff>
    </xdr:to>
    <xdr:sp macro="[0]!DisplayOpen" textlink="">
      <xdr:nvSpPr>
        <xdr:cNvPr id="3" name="Rectangle: Single Corner Snipped 2">
          <a:extLst>
            <a:ext uri="{FF2B5EF4-FFF2-40B4-BE49-F238E27FC236}">
              <a16:creationId xmlns:a16="http://schemas.microsoft.com/office/drawing/2014/main" id="{00000000-0008-0000-0400-000003000000}"/>
            </a:ext>
          </a:extLst>
        </xdr:cNvPr>
        <xdr:cNvSpPr/>
      </xdr:nvSpPr>
      <xdr:spPr>
        <a:xfrm>
          <a:off x="13258800" y="2727960"/>
          <a:ext cx="1226820" cy="373380"/>
        </a:xfrm>
        <a:prstGeom prst="snip1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a:t>Refresh</a:t>
          </a:r>
        </a:p>
      </xdr:txBody>
    </xdr:sp>
    <xdr:clientData/>
  </xdr:twoCellAnchor>
  <xdr:twoCellAnchor>
    <xdr:from>
      <xdr:col>9</xdr:col>
      <xdr:colOff>601980</xdr:colOff>
      <xdr:row>0</xdr:row>
      <xdr:rowOff>160020</xdr:rowOff>
    </xdr:from>
    <xdr:to>
      <xdr:col>15</xdr:col>
      <xdr:colOff>601980</xdr:colOff>
      <xdr:row>14</xdr:row>
      <xdr:rowOff>7620</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820400" y="160020"/>
          <a:ext cx="3657600" cy="240792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cap="none" spc="0">
              <a:ln w="0"/>
              <a:solidFill>
                <a:schemeClr val="accent1"/>
              </a:solidFill>
              <a:effectLst>
                <a:outerShdw blurRad="38100" dist="25400" dir="5400000" algn="ctr" rotWithShape="0">
                  <a:srgbClr val="6E747A">
                    <a:alpha val="43000"/>
                  </a:srgbClr>
                </a:outerShdw>
              </a:effectLst>
            </a:rPr>
            <a:t>Instructions</a:t>
          </a:r>
          <a:r>
            <a:rPr lang="en-US" sz="1100" b="0" cap="none" spc="0" baseline="0">
              <a:ln w="0"/>
              <a:solidFill>
                <a:schemeClr val="accent1"/>
              </a:solidFill>
              <a:effectLst>
                <a:outerShdw blurRad="38100" dist="25400" dir="5400000" algn="ctr" rotWithShape="0">
                  <a:srgbClr val="6E747A">
                    <a:alpha val="43000"/>
                  </a:srgbClr>
                </a:outerShdw>
              </a:effectLst>
            </a:rPr>
            <a:t>:</a:t>
          </a:r>
        </a:p>
        <a:p>
          <a:endParaRPr lang="en-US" sz="1100" baseline="0"/>
        </a:p>
        <a:p>
          <a:r>
            <a:rPr lang="en-US" sz="1100"/>
            <a:t>This</a:t>
          </a:r>
          <a:r>
            <a:rPr lang="en-US" sz="1100" baseline="0"/>
            <a:t> tab displays all the open transactions and provides the functionality for transactions to be closed. </a:t>
          </a:r>
        </a:p>
        <a:p>
          <a:endParaRPr lang="en-US" sz="1100" baseline="0"/>
        </a:p>
        <a:p>
          <a:r>
            <a:rPr lang="en-US" sz="1100" baseline="0"/>
            <a:t>To close a transaction: enter the close_price and the amount of position to close out. Highlight the relevant row (without the column headers), then hit "Close".</a:t>
          </a:r>
        </a:p>
        <a:p>
          <a:endParaRPr lang="en-US" sz="1100" baseline="0"/>
        </a:p>
        <a:p>
          <a:r>
            <a:rPr lang="en-US" sz="1100" baseline="0">
              <a:solidFill>
                <a:srgbClr val="FF0000"/>
              </a:solidFill>
            </a:rPr>
            <a:t>Close_position and position should be of the same sign. </a:t>
          </a:r>
        </a:p>
        <a:p>
          <a:r>
            <a:rPr lang="en-US" sz="1100" baseline="0">
              <a:solidFill>
                <a:srgbClr val="FF0000"/>
              </a:solidFill>
            </a:rPr>
            <a:t>For options, close_price should be the underlying price when they have expired, current option price otherwise.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579120</xdr:colOff>
      <xdr:row>17</xdr:row>
      <xdr:rowOff>175260</xdr:rowOff>
    </xdr:from>
    <xdr:to>
      <xdr:col>16</xdr:col>
      <xdr:colOff>7620</xdr:colOff>
      <xdr:row>19</xdr:row>
      <xdr:rowOff>167640</xdr:rowOff>
    </xdr:to>
    <xdr:sp macro="[0]!InsertTrans" textlink="">
      <xdr:nvSpPr>
        <xdr:cNvPr id="2" name="Rectangle: Single Corner Snipped 1">
          <a:extLst>
            <a:ext uri="{FF2B5EF4-FFF2-40B4-BE49-F238E27FC236}">
              <a16:creationId xmlns:a16="http://schemas.microsoft.com/office/drawing/2014/main" id="{00000000-0008-0000-0500-000002000000}"/>
            </a:ext>
          </a:extLst>
        </xdr:cNvPr>
        <xdr:cNvSpPr/>
      </xdr:nvSpPr>
      <xdr:spPr>
        <a:xfrm>
          <a:off x="9898380" y="3284220"/>
          <a:ext cx="1257300" cy="358140"/>
        </a:xfrm>
        <a:prstGeom prst="snip1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US" sz="1100" b="1"/>
            <a:t>Insert</a:t>
          </a:r>
        </a:p>
      </xdr:txBody>
    </xdr:sp>
    <xdr:clientData/>
  </xdr:twoCellAnchor>
  <xdr:twoCellAnchor>
    <xdr:from>
      <xdr:col>18</xdr:col>
      <xdr:colOff>15240</xdr:colOff>
      <xdr:row>18</xdr:row>
      <xdr:rowOff>7620</xdr:rowOff>
    </xdr:from>
    <xdr:to>
      <xdr:col>20</xdr:col>
      <xdr:colOff>38100</xdr:colOff>
      <xdr:row>19</xdr:row>
      <xdr:rowOff>167640</xdr:rowOff>
    </xdr:to>
    <xdr:sp macro="[0]!CorrectTrans" textlink="">
      <xdr:nvSpPr>
        <xdr:cNvPr id="5" name="Rectangle: Single Corner Snipped 4">
          <a:extLst>
            <a:ext uri="{FF2B5EF4-FFF2-40B4-BE49-F238E27FC236}">
              <a16:creationId xmlns:a16="http://schemas.microsoft.com/office/drawing/2014/main" id="{00000000-0008-0000-0500-000005000000}"/>
            </a:ext>
          </a:extLst>
        </xdr:cNvPr>
        <xdr:cNvSpPr/>
      </xdr:nvSpPr>
      <xdr:spPr>
        <a:xfrm>
          <a:off x="12382500" y="3299460"/>
          <a:ext cx="1242060" cy="342900"/>
        </a:xfrm>
        <a:prstGeom prst="snip1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US" sz="1100" b="1"/>
            <a:t>Update</a:t>
          </a:r>
        </a:p>
        <a:p>
          <a:pPr algn="ctr"/>
          <a:endParaRPr lang="en-US" sz="1100" b="1"/>
        </a:p>
      </xdr:txBody>
    </xdr:sp>
    <xdr:clientData/>
  </xdr:twoCellAnchor>
  <xdr:twoCellAnchor>
    <xdr:from>
      <xdr:col>13</xdr:col>
      <xdr:colOff>594360</xdr:colOff>
      <xdr:row>1</xdr:row>
      <xdr:rowOff>0</xdr:rowOff>
    </xdr:from>
    <xdr:to>
      <xdr:col>20</xdr:col>
      <xdr:colOff>7620</xdr:colOff>
      <xdr:row>16</xdr:row>
      <xdr:rowOff>175260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9913620" y="182880"/>
          <a:ext cx="3680460" cy="291846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cap="none" spc="0">
              <a:ln w="0"/>
              <a:solidFill>
                <a:schemeClr val="accent1"/>
              </a:solidFill>
              <a:effectLst>
                <a:outerShdw blurRad="38100" dist="25400" dir="5400000" algn="ctr" rotWithShape="0">
                  <a:srgbClr val="6E747A">
                    <a:alpha val="43000"/>
                  </a:srgbClr>
                </a:outerShdw>
              </a:effectLst>
            </a:rPr>
            <a:t>Instructions</a:t>
          </a:r>
          <a:r>
            <a:rPr lang="en-US" sz="1100" b="0" cap="none" spc="0" baseline="0">
              <a:ln w="0"/>
              <a:solidFill>
                <a:schemeClr val="accent1"/>
              </a:solidFill>
              <a:effectLst>
                <a:outerShdw blurRad="38100" dist="25400" dir="5400000" algn="ctr" rotWithShape="0">
                  <a:srgbClr val="6E747A">
                    <a:alpha val="43000"/>
                  </a:srgbClr>
                </a:outerShdw>
              </a:effectLst>
            </a:rPr>
            <a:t>:</a:t>
          </a:r>
        </a:p>
        <a:p>
          <a:endParaRPr lang="en-US" sz="1100" baseline="0"/>
        </a:p>
        <a:p>
          <a:r>
            <a:rPr lang="en-US" sz="1100" baseline="0"/>
            <a:t>The tab exposes the insert and update functionality for current transactions.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rgbClr val="FF0000"/>
              </a:solidFill>
              <a:effectLst/>
              <a:latin typeface="+mn-lt"/>
              <a:ea typeface="+mn-ea"/>
              <a:cs typeface="+mn-cs"/>
            </a:rPr>
            <a:t>*Multi-row insert is supported; bulk update is not.</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rgbClr val="FF0000"/>
              </a:solidFill>
              <a:effectLst/>
              <a:latin typeface="+mn-lt"/>
              <a:ea typeface="+mn-ea"/>
              <a:cs typeface="+mn-cs"/>
            </a:rPr>
            <a:t>*For options, start_price = option premium </a:t>
          </a:r>
          <a:endParaRPr lang="en-US">
            <a:solidFill>
              <a:srgbClr val="FF0000"/>
            </a:solidFill>
            <a:effectLst/>
          </a:endParaRPr>
        </a:p>
        <a:p>
          <a:endParaRPr lang="en-US" sz="1100" baseline="0"/>
        </a:p>
        <a:p>
          <a:r>
            <a:rPr lang="en-US" sz="1100" baseline="0"/>
            <a:t>For both operations: fill out the rows underneath the field names. Highlight all inputs (including headers) and hit the "Insert" button. For non-option trades, leave c/p, strike, expiry blank.</a:t>
          </a:r>
        </a:p>
        <a:p>
          <a:endParaRPr lang="en-US" sz="1100" baseline="0"/>
        </a:p>
        <a:p>
          <a:r>
            <a:rPr lang="en-US" sz="1100" baseline="0"/>
            <a:t>Applicable to updates: for existing fields, enter the field name in the first row and the corresponding new value in the second row. For deletion of existing fields, leave the corresponding second row cell blank. </a:t>
          </a:r>
        </a:p>
        <a:p>
          <a:r>
            <a:rPr lang="en-US" sz="1100" baseline="0"/>
            <a:t> </a:t>
          </a: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15240</xdr:colOff>
      <xdr:row>14</xdr:row>
      <xdr:rowOff>7620</xdr:rowOff>
    </xdr:from>
    <xdr:to>
      <xdr:col>9</xdr:col>
      <xdr:colOff>594360</xdr:colOff>
      <xdr:row>16</xdr:row>
      <xdr:rowOff>53340</xdr:rowOff>
    </xdr:to>
    <xdr:sp macro="[0]!DeleteTrans" textlink="">
      <xdr:nvSpPr>
        <xdr:cNvPr id="2" name="Rectangle: Single Corner Snipped 1">
          <a:extLst>
            <a:ext uri="{FF2B5EF4-FFF2-40B4-BE49-F238E27FC236}">
              <a16:creationId xmlns:a16="http://schemas.microsoft.com/office/drawing/2014/main" id="{00000000-0008-0000-0600-000002000000}"/>
            </a:ext>
          </a:extLst>
        </xdr:cNvPr>
        <xdr:cNvSpPr/>
      </xdr:nvSpPr>
      <xdr:spPr>
        <a:xfrm>
          <a:off x="5212080" y="2567940"/>
          <a:ext cx="1188720" cy="411480"/>
        </a:xfrm>
        <a:prstGeom prst="snip1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ctr"/>
          <a:r>
            <a:rPr lang="en-US" sz="1100" b="1"/>
            <a:t>Delete</a:t>
          </a:r>
        </a:p>
      </xdr:txBody>
    </xdr:sp>
    <xdr:clientData/>
  </xdr:twoCellAnchor>
  <xdr:twoCellAnchor>
    <xdr:from>
      <xdr:col>8</xdr:col>
      <xdr:colOff>7620</xdr:colOff>
      <xdr:row>0</xdr:row>
      <xdr:rowOff>22860</xdr:rowOff>
    </xdr:from>
    <xdr:to>
      <xdr:col>12</xdr:col>
      <xdr:colOff>594360</xdr:colOff>
      <xdr:row>13</xdr:row>
      <xdr:rowOff>38100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5204460" y="22860"/>
          <a:ext cx="3025140" cy="2392680"/>
        </a:xfrm>
        <a:prstGeom prst="rect">
          <a:avLst/>
        </a:prstGeom>
        <a:solidFill>
          <a:schemeClr val="accent5">
            <a:lumMod val="20000"/>
            <a:lumOff val="80000"/>
          </a:schemeClr>
        </a:solidFill>
        <a:ln w="9525" cmpd="sng">
          <a:solidFill>
            <a:schemeClr val="accent5">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cap="none" spc="0">
              <a:ln w="0"/>
              <a:solidFill>
                <a:schemeClr val="accent1"/>
              </a:solidFill>
              <a:effectLst>
                <a:outerShdw blurRad="38100" dist="25400" dir="5400000" algn="ctr" rotWithShape="0">
                  <a:srgbClr val="6E747A">
                    <a:alpha val="43000"/>
                  </a:srgbClr>
                </a:outerShdw>
              </a:effectLst>
            </a:rPr>
            <a:t>Instructions</a:t>
          </a:r>
          <a:r>
            <a:rPr lang="en-US" sz="1100" b="0" cap="none" spc="0" baseline="0">
              <a:ln w="0"/>
              <a:solidFill>
                <a:schemeClr val="accent1"/>
              </a:solidFill>
              <a:effectLst>
                <a:outerShdw blurRad="38100" dist="25400" dir="5400000" algn="ctr" rotWithShape="0">
                  <a:srgbClr val="6E747A">
                    <a:alpha val="43000"/>
                  </a:srgbClr>
                </a:outerShdw>
              </a:effectLst>
            </a:rPr>
            <a:t>:</a:t>
          </a:r>
        </a:p>
        <a:p>
          <a:endParaRPr lang="en-US" sz="1100" baseline="0"/>
        </a:p>
        <a:p>
          <a:r>
            <a:rPr lang="en-US" sz="1100" baseline="0"/>
            <a:t>This tab allows the deletion of current transactions. </a:t>
          </a:r>
        </a:p>
        <a:p>
          <a:endParaRPr lang="en-US" sz="1100" baseline="0"/>
        </a:p>
        <a:p>
          <a:r>
            <a:rPr lang="en-US" sz="1100" baseline="0">
              <a:solidFill>
                <a:srgbClr val="FF0000"/>
              </a:solidFill>
            </a:rPr>
            <a:t>Deletion of the entire collection is not supported here. </a:t>
          </a:r>
        </a:p>
        <a:p>
          <a:endParaRPr lang="en-US" sz="1100" baseline="0"/>
        </a:p>
        <a:p>
          <a:r>
            <a:rPr lang="en-US" sz="1100" baseline="0"/>
            <a:t>To use the functionality, enter the field names in the first row and the corresponding values for querying. Then highlight all the inputs and hit the "Delete" button below. </a:t>
          </a:r>
        </a:p>
        <a:p>
          <a:endParaRPr lang="en-US" sz="1100" baseline="0"/>
        </a:p>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251460</xdr:colOff>
      <xdr:row>7</xdr:row>
      <xdr:rowOff>167640</xdr:rowOff>
    </xdr:from>
    <xdr:to>
      <xdr:col>16</xdr:col>
      <xdr:colOff>0</xdr:colOff>
      <xdr:row>9</xdr:row>
      <xdr:rowOff>175260</xdr:rowOff>
    </xdr:to>
    <xdr:sp macro="[0]!Chart" textlink="">
      <xdr:nvSpPr>
        <xdr:cNvPr id="28" name="Rectangle: Single Corner Snipped 27">
          <a:extLst>
            <a:ext uri="{FF2B5EF4-FFF2-40B4-BE49-F238E27FC236}">
              <a16:creationId xmlns:a16="http://schemas.microsoft.com/office/drawing/2014/main" id="{7E18A6F0-C33D-408B-A67A-3FF1B8A560AD}"/>
            </a:ext>
          </a:extLst>
        </xdr:cNvPr>
        <xdr:cNvSpPr/>
      </xdr:nvSpPr>
      <xdr:spPr>
        <a:xfrm>
          <a:off x="8961120" y="1447800"/>
          <a:ext cx="1287780" cy="373380"/>
        </a:xfrm>
        <a:prstGeom prst="snip1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a:t>Refresh</a:t>
          </a:r>
        </a:p>
      </xdr:txBody>
    </xdr:sp>
    <xdr:clientData/>
  </xdr:twoCellAnchor>
  <xdr:twoCellAnchor editAs="oneCell">
    <xdr:from>
      <xdr:col>1</xdr:col>
      <xdr:colOff>0</xdr:colOff>
      <xdr:row>2</xdr:row>
      <xdr:rowOff>0</xdr:rowOff>
    </xdr:from>
    <xdr:to>
      <xdr:col>9</xdr:col>
      <xdr:colOff>246898</xdr:colOff>
      <xdr:row>24</xdr:row>
      <xdr:rowOff>109736</xdr:rowOff>
    </xdr:to>
    <xdr:pic>
      <xdr:nvPicPr>
        <xdr:cNvPr id="59" name="pnl">
          <a:extLst>
            <a:ext uri="{FF2B5EF4-FFF2-40B4-BE49-F238E27FC236}">
              <a16:creationId xmlns:a16="http://schemas.microsoft.com/office/drawing/2014/main" id="{2DB15505-A2F8-44BA-A3D4-018A6B15A084}"/>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365760"/>
          <a:ext cx="5123698" cy="4133096"/>
        </a:xfrm>
        <a:prstGeom prst="rect">
          <a:avLst/>
        </a:prstGeom>
      </xdr:spPr>
    </xdr:pic>
    <xdr:clientData/>
  </xdr:twoCellAnchor>
  <xdr:twoCellAnchor editAs="oneCell">
    <xdr:from>
      <xdr:col>1</xdr:col>
      <xdr:colOff>0</xdr:colOff>
      <xdr:row>29</xdr:row>
      <xdr:rowOff>0</xdr:rowOff>
    </xdr:from>
    <xdr:to>
      <xdr:col>9</xdr:col>
      <xdr:colOff>167650</xdr:colOff>
      <xdr:row>51</xdr:row>
      <xdr:rowOff>109736</xdr:rowOff>
    </xdr:to>
    <xdr:pic>
      <xdr:nvPicPr>
        <xdr:cNvPr id="61" name="greeks">
          <a:extLst>
            <a:ext uri="{FF2B5EF4-FFF2-40B4-BE49-F238E27FC236}">
              <a16:creationId xmlns:a16="http://schemas.microsoft.com/office/drawing/2014/main" id="{22EF1B34-C254-4A74-87A0-FA9D20F45CF5}"/>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9600" y="5303520"/>
          <a:ext cx="5044450" cy="4133096"/>
        </a:xfrm>
        <a:prstGeom prst="rect">
          <a:avLst/>
        </a:prstGeom>
      </xdr:spPr>
    </xdr:pic>
    <xdr:clientData/>
  </xdr:twoCellAnchor>
  <xdr:twoCellAnchor editAs="oneCell">
    <xdr:from>
      <xdr:col>12</xdr:col>
      <xdr:colOff>0</xdr:colOff>
      <xdr:row>29</xdr:row>
      <xdr:rowOff>0</xdr:rowOff>
    </xdr:from>
    <xdr:to>
      <xdr:col>18</xdr:col>
      <xdr:colOff>283474</xdr:colOff>
      <xdr:row>48</xdr:row>
      <xdr:rowOff>42679</xdr:rowOff>
    </xdr:to>
    <xdr:pic>
      <xdr:nvPicPr>
        <xdr:cNvPr id="63" name="breakdown">
          <a:extLst>
            <a:ext uri="{FF2B5EF4-FFF2-40B4-BE49-F238E27FC236}">
              <a16:creationId xmlns:a16="http://schemas.microsoft.com/office/drawing/2014/main" id="{B2FA54B3-47D6-4CFF-A75C-0A49F090F023}"/>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315200" y="5303520"/>
          <a:ext cx="5099314" cy="351739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5629F-C40A-4F79-BC76-DC515CB9E476}">
  <sheetPr codeName="Sheet5"/>
  <dimension ref="F3:M9"/>
  <sheetViews>
    <sheetView tabSelected="1" workbookViewId="0">
      <selection activeCell="I24" sqref="I24"/>
    </sheetView>
  </sheetViews>
  <sheetFormatPr defaultRowHeight="14.4" x14ac:dyDescent="0.3"/>
  <sheetData>
    <row r="3" spans="6:13" x14ac:dyDescent="0.3">
      <c r="F3" s="21"/>
      <c r="G3" s="21"/>
      <c r="H3" s="21"/>
      <c r="I3" s="21"/>
      <c r="J3" s="21"/>
      <c r="K3" s="21"/>
      <c r="L3" s="21"/>
      <c r="M3" s="21"/>
    </row>
    <row r="4" spans="6:13" x14ac:dyDescent="0.3">
      <c r="F4" s="21"/>
      <c r="G4" s="21"/>
      <c r="H4" s="21"/>
      <c r="I4" s="21"/>
      <c r="J4" s="21"/>
      <c r="K4" s="21"/>
      <c r="L4" s="21"/>
      <c r="M4" s="21"/>
    </row>
    <row r="5" spans="6:13" x14ac:dyDescent="0.3">
      <c r="F5" s="21"/>
      <c r="G5" s="21"/>
      <c r="H5" s="21"/>
      <c r="I5" s="21"/>
      <c r="J5" s="21"/>
      <c r="K5" s="21"/>
      <c r="L5" s="21"/>
      <c r="M5" s="21"/>
    </row>
    <row r="6" spans="6:13" x14ac:dyDescent="0.3">
      <c r="F6" s="21"/>
      <c r="G6" s="21"/>
      <c r="H6" s="21"/>
      <c r="I6" s="21"/>
      <c r="J6" s="21"/>
      <c r="K6" s="21"/>
      <c r="L6" s="21"/>
      <c r="M6" s="21"/>
    </row>
    <row r="7" spans="6:13" x14ac:dyDescent="0.3">
      <c r="F7" s="21"/>
      <c r="G7" s="21"/>
      <c r="H7" s="21"/>
      <c r="I7" s="21"/>
      <c r="J7" s="21"/>
      <c r="K7" s="21"/>
      <c r="L7" s="21"/>
      <c r="M7" s="21"/>
    </row>
    <row r="8" spans="6:13" x14ac:dyDescent="0.3">
      <c r="F8" s="21"/>
      <c r="G8" s="21"/>
      <c r="H8" s="21"/>
      <c r="I8" s="21"/>
      <c r="J8" s="21"/>
      <c r="K8" s="21"/>
      <c r="L8" s="21"/>
      <c r="M8" s="21"/>
    </row>
    <row r="9" spans="6:13" x14ac:dyDescent="0.3">
      <c r="F9" s="21"/>
      <c r="G9" s="21"/>
      <c r="H9" s="21"/>
      <c r="I9" s="21"/>
      <c r="J9" s="21"/>
      <c r="K9" s="21"/>
      <c r="L9" s="21"/>
      <c r="M9" s="2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D9C1D-796D-4AF6-A425-CF6BF81B5BCC}">
  <sheetPr codeName="Sheet2"/>
  <dimension ref="A1:N11"/>
  <sheetViews>
    <sheetView zoomScaleNormal="100" workbookViewId="0">
      <selection activeCell="J12" sqref="J12"/>
    </sheetView>
  </sheetViews>
  <sheetFormatPr defaultRowHeight="14.4" x14ac:dyDescent="0.3"/>
  <cols>
    <col min="1" max="1" width="12.77734375" customWidth="1"/>
    <col min="2" max="2" width="12.109375" customWidth="1"/>
    <col min="3" max="3" width="12.109375" style="15" customWidth="1"/>
    <col min="4" max="4" width="12.109375" style="3" customWidth="1"/>
    <col min="5" max="5" width="15" style="17" customWidth="1"/>
    <col min="6" max="6" width="14.44140625" customWidth="1"/>
    <col min="7" max="7" width="19.21875" style="15" customWidth="1"/>
    <col min="8" max="10" width="15.77734375" style="15" customWidth="1"/>
    <col min="11" max="11" width="12.6640625" style="15" customWidth="1"/>
    <col min="12" max="12" width="12.44140625" style="15" customWidth="1"/>
    <col min="13" max="13" width="13.77734375" style="15" customWidth="1"/>
    <col min="14" max="14" width="13.33203125" style="15" customWidth="1"/>
  </cols>
  <sheetData>
    <row r="1" spans="1:14" x14ac:dyDescent="0.3">
      <c r="A1" s="13" t="s">
        <v>13</v>
      </c>
      <c r="B1" cm="1">
        <f t="array" ref="B1">_xll.BDP("usswap10Y curncy", "px_close_1d")</f>
        <v>1.49</v>
      </c>
    </row>
    <row r="2" spans="1:14" ht="14.4" customHeight="1" x14ac:dyDescent="0.3"/>
    <row r="3" spans="1:14" x14ac:dyDescent="0.3">
      <c r="A3" s="1" t="s">
        <v>1</v>
      </c>
      <c r="B3" s="12" t="s">
        <v>7</v>
      </c>
      <c r="C3" s="14" t="s">
        <v>6</v>
      </c>
      <c r="D3" s="10" t="s">
        <v>5</v>
      </c>
      <c r="E3" s="16" t="s">
        <v>8</v>
      </c>
      <c r="F3" s="12" t="s">
        <v>16</v>
      </c>
      <c r="G3" s="14" t="s">
        <v>3</v>
      </c>
      <c r="H3" s="14" t="s">
        <v>14</v>
      </c>
      <c r="I3" s="14" t="s">
        <v>12</v>
      </c>
      <c r="J3" s="14" t="s">
        <v>15</v>
      </c>
      <c r="K3" s="14" t="s">
        <v>4</v>
      </c>
      <c r="L3" s="14" t="s">
        <v>9</v>
      </c>
      <c r="M3" s="14" t="s">
        <v>10</v>
      </c>
      <c r="N3" s="14" t="s">
        <v>11</v>
      </c>
    </row>
    <row r="4" spans="1:14" ht="14.4" customHeight="1" x14ac:dyDescent="0.3">
      <c r="A4" t="s">
        <v>38</v>
      </c>
      <c r="E4" s="17">
        <v>1000</v>
      </c>
      <c r="F4" t="s">
        <v>36</v>
      </c>
      <c r="G4" s="15">
        <v>50.82</v>
      </c>
      <c r="H4" s="15">
        <v>0.19</v>
      </c>
      <c r="K4" s="15">
        <v>1</v>
      </c>
      <c r="L4" s="15">
        <v>0</v>
      </c>
      <c r="M4" s="15">
        <v>0</v>
      </c>
      <c r="N4" s="15">
        <v>0</v>
      </c>
    </row>
    <row r="5" spans="1:14" x14ac:dyDescent="0.3">
      <c r="A5" t="s">
        <v>33</v>
      </c>
      <c r="B5" t="s">
        <v>34</v>
      </c>
      <c r="C5" s="15">
        <v>0.87</v>
      </c>
      <c r="D5" s="3">
        <v>44560</v>
      </c>
      <c r="E5" s="17">
        <v>-1000000</v>
      </c>
      <c r="F5" s="3" t="s">
        <v>35</v>
      </c>
      <c r="G5" s="15">
        <v>0.84989999999999999</v>
      </c>
      <c r="H5" s="15">
        <v>1.5100000000000001E-3</v>
      </c>
      <c r="I5" s="15">
        <v>5.7350000000000003</v>
      </c>
      <c r="J5" s="15">
        <v>-2.0158999999999998</v>
      </c>
      <c r="K5" s="15">
        <v>0.21705957817013816</v>
      </c>
      <c r="L5" s="15">
        <v>0.12663174453571346</v>
      </c>
      <c r="M5" s="15">
        <v>1.1886454212613456E-3</v>
      </c>
      <c r="N5" s="15">
        <v>-4.8467015639425527E-5</v>
      </c>
    </row>
    <row r="6" spans="1:14" x14ac:dyDescent="0.3">
      <c r="A6" t="s">
        <v>33</v>
      </c>
      <c r="B6" t="s">
        <v>27</v>
      </c>
      <c r="C6" s="15">
        <v>0.84499999999999997</v>
      </c>
      <c r="D6" s="3">
        <v>44560</v>
      </c>
      <c r="E6" s="17">
        <v>-1000000</v>
      </c>
      <c r="F6" t="s">
        <v>35</v>
      </c>
      <c r="G6" s="15">
        <v>0.84989999999999999</v>
      </c>
      <c r="H6" s="15">
        <v>1.5100000000000001E-3</v>
      </c>
      <c r="I6" s="15">
        <v>5.7350000000000003</v>
      </c>
      <c r="J6" s="15">
        <v>-2.0158999999999998</v>
      </c>
      <c r="K6" s="18">
        <v>-0.38821717559409052</v>
      </c>
      <c r="L6" s="18">
        <v>0.16514982530406272</v>
      </c>
      <c r="M6" s="15">
        <v>1.5502004208306729E-3</v>
      </c>
      <c r="N6" s="15">
        <v>-3.984894611178969E-5</v>
      </c>
    </row>
    <row r="7" spans="1:14" x14ac:dyDescent="0.3">
      <c r="A7" t="s">
        <v>26</v>
      </c>
      <c r="B7" t="s">
        <v>34</v>
      </c>
      <c r="C7" s="15">
        <v>230</v>
      </c>
      <c r="D7" s="3">
        <v>44484</v>
      </c>
      <c r="E7" s="17">
        <v>-500</v>
      </c>
      <c r="F7" t="s">
        <v>36</v>
      </c>
      <c r="G7" s="15">
        <v>221.58</v>
      </c>
      <c r="H7" s="15">
        <v>-1.68</v>
      </c>
      <c r="I7" s="15">
        <v>15.67366</v>
      </c>
      <c r="J7" s="15">
        <v>-28.477920000000001</v>
      </c>
      <c r="K7" s="18">
        <f>_xll.BDP("IWM 10/15/21 c230.0 equity",  "delta", "opt_valuation_dt", "20211007")</f>
        <v>5.5411210000000002E-2</v>
      </c>
      <c r="L7" s="18">
        <f>_xll.BDP("IWM 10/15/21 c230.0 equity",  "gamma", "opt_valuation_dt", "20211007")</f>
        <v>4.8223000000000002E-2</v>
      </c>
      <c r="M7" s="15">
        <f>_xll.BDP("IWM 10/15/21 c230.0 equity",  "vega", "opt_valuation_dt", "20211007")</f>
        <v>3.6707289999999997E-2</v>
      </c>
      <c r="N7" s="15">
        <f>_xll.BDP("IWM 10/15/21 c230.0 equity",  "opt_theta", "opt_valuation_dt", "20211007")</f>
        <v>-3.4042210000000003E-2</v>
      </c>
    </row>
    <row r="8" spans="1:14" x14ac:dyDescent="0.3">
      <c r="A8" t="s">
        <v>26</v>
      </c>
      <c r="B8" t="s">
        <v>34</v>
      </c>
      <c r="C8" s="15">
        <v>240</v>
      </c>
      <c r="D8" s="3">
        <v>44484</v>
      </c>
      <c r="E8" s="17">
        <v>500</v>
      </c>
      <c r="F8" t="s">
        <v>36</v>
      </c>
      <c r="G8" s="15">
        <v>221.58</v>
      </c>
      <c r="H8" s="15">
        <v>-1.68</v>
      </c>
      <c r="I8" s="15">
        <v>20.659420000000001</v>
      </c>
      <c r="J8" s="15">
        <v>3.3679160000000001</v>
      </c>
      <c r="K8" s="18">
        <f>_xll.BDP("IWM 10/15/21 c240.0 equity",  "delta", "opt_valuation_dt", "20211007")</f>
        <v>4.7336009999999996E-3</v>
      </c>
      <c r="L8" s="18">
        <f>_xll.BDP("IWM 10/15/21 c240.0 equity",  "gamma", "opt_valuation_dt", "20211007")</f>
        <v>4.5024649999999998E-3</v>
      </c>
      <c r="M8" s="15">
        <f>_xll.BDP("IWM 10/15/21 c240.0 equity",  "vega", "opt_valuation_dt", "20211007")</f>
        <v>4.5174799999999999E-3</v>
      </c>
      <c r="N8" s="15">
        <f>_xll.BDP("IWM 10/15/21 c240.0 equity",  "opt_theta", "opt_valuation_dt", "20211007")</f>
        <v>-4.8118010000000001E-3</v>
      </c>
    </row>
    <row r="9" spans="1:14" x14ac:dyDescent="0.3">
      <c r="A9" t="s">
        <v>26</v>
      </c>
      <c r="B9" t="s">
        <v>27</v>
      </c>
      <c r="C9" s="15">
        <v>220</v>
      </c>
      <c r="D9" s="3">
        <v>44484.166666666664</v>
      </c>
      <c r="E9" s="17">
        <v>500</v>
      </c>
      <c r="F9" t="s">
        <v>36</v>
      </c>
      <c r="G9" s="15">
        <v>221.58</v>
      </c>
      <c r="H9" s="15">
        <v>-1.68</v>
      </c>
      <c r="I9" s="15">
        <v>19.989470000000001</v>
      </c>
      <c r="J9" s="15">
        <v>-18.658449999999998</v>
      </c>
      <c r="K9" s="15">
        <f>_xll.BDP("IWM 10/15/21 p220.0 equity",  "delta", "opt_valuation_dt", "20211007")</f>
        <v>-0.39838889999999999</v>
      </c>
      <c r="L9" s="18">
        <f>_xll.BDP("IWM 10/15/21 p220.0 equity",  "gamma", "opt_valuation_dt", "20211007")</f>
        <v>0.13040969999999999</v>
      </c>
      <c r="M9" s="15">
        <f>_xll.BDP("IWM 10/15/21 p220.0 equity",  "vega", "opt_valuation_dt", "20211007")</f>
        <v>0.12660150000000001</v>
      </c>
      <c r="N9" s="15">
        <f>_xll.BDP("IWM 10/15/21 p220.0 equity",  "opt_theta", "opt_valuation_dt", "20211007")</f>
        <v>-0.16312660000000001</v>
      </c>
    </row>
    <row r="10" spans="1:14" x14ac:dyDescent="0.3">
      <c r="A10" t="s">
        <v>26</v>
      </c>
      <c r="B10" t="s">
        <v>27</v>
      </c>
      <c r="C10" s="15">
        <v>230</v>
      </c>
      <c r="D10" s="3">
        <v>44484.166666666664</v>
      </c>
      <c r="E10" s="17">
        <v>-500</v>
      </c>
      <c r="F10" t="s">
        <v>36</v>
      </c>
      <c r="G10" s="15">
        <v>221.58</v>
      </c>
      <c r="H10" s="15">
        <v>-1.68</v>
      </c>
      <c r="I10" s="15">
        <v>19.989470000000001</v>
      </c>
      <c r="J10" s="15">
        <v>-1.92367</v>
      </c>
      <c r="K10" s="15">
        <f>_xll.BDP("IWM 10/15/21 p230.0 equity",  "delta", "opt_valuation_dt", "20211007")</f>
        <v>-0.95363980000000004</v>
      </c>
      <c r="L10" s="18">
        <f>_xll.BDP("IWM 10/15/21 p230.0 equity",  "gamma", "opt_valuation_dt", "20211007")</f>
        <v>4.474757E-2</v>
      </c>
      <c r="M10" s="15">
        <f>_xll.BDP("IWM 10/15/21 p230.0 equity",  "vega", "opt_valuation_dt", "20211007")</f>
        <v>3.1947160000000002E-2</v>
      </c>
      <c r="N10" s="15">
        <f>_xll.BDP("IWM 10/15/21 p230.0 equity",  "opt_theta", "opt_valuation_dt", "20211007")</f>
        <v>-2.8149790000000001E-2</v>
      </c>
    </row>
    <row r="11" spans="1:14" x14ac:dyDescent="0.3">
      <c r="L11" s="1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C542E-004B-42B8-BB3F-155EC826B993}">
  <sheetPr codeName="Sheet7"/>
  <dimension ref="A1:G4"/>
  <sheetViews>
    <sheetView zoomScaleNormal="100" workbookViewId="0">
      <selection activeCell="E5" sqref="E5"/>
    </sheetView>
  </sheetViews>
  <sheetFormatPr defaultRowHeight="14.4" x14ac:dyDescent="0.3"/>
  <cols>
    <col min="1" max="1" width="14.88671875" customWidth="1"/>
    <col min="2" max="7" width="19.77734375" style="15" customWidth="1"/>
  </cols>
  <sheetData>
    <row r="1" spans="1:7" s="13" customFormat="1" x14ac:dyDescent="0.3">
      <c r="A1" s="12" t="s">
        <v>1</v>
      </c>
      <c r="B1" s="14" t="s">
        <v>17</v>
      </c>
      <c r="C1" s="14" t="s">
        <v>18</v>
      </c>
      <c r="D1" s="12" t="s">
        <v>28</v>
      </c>
      <c r="E1" s="14" t="s">
        <v>19</v>
      </c>
      <c r="F1" s="14" t="s">
        <v>37</v>
      </c>
      <c r="G1" s="14" t="s">
        <v>20</v>
      </c>
    </row>
    <row r="2" spans="1:7" x14ac:dyDescent="0.3">
      <c r="A2" t="s">
        <v>38</v>
      </c>
      <c r="B2" s="15">
        <v>1000</v>
      </c>
      <c r="C2" s="15">
        <v>0</v>
      </c>
      <c r="D2" s="15">
        <v>190</v>
      </c>
      <c r="E2" s="15">
        <v>0</v>
      </c>
      <c r="F2" s="15">
        <v>0</v>
      </c>
      <c r="G2" s="15">
        <v>190</v>
      </c>
    </row>
    <row r="3" spans="1:7" x14ac:dyDescent="0.3">
      <c r="A3" t="s">
        <v>33</v>
      </c>
      <c r="B3" s="15">
        <v>170717.00725349435</v>
      </c>
      <c r="C3" s="15">
        <v>-440.59017045806206</v>
      </c>
      <c r="D3" s="15">
        <v>257.7826809527765</v>
      </c>
      <c r="E3" s="15">
        <v>5521.2393330732993</v>
      </c>
      <c r="F3" s="15">
        <v>88.315961751215212</v>
      </c>
      <c r="G3" s="15">
        <v>5867.3379757772918</v>
      </c>
    </row>
    <row r="4" spans="1:7" x14ac:dyDescent="0.3">
      <c r="A4" t="s">
        <v>26</v>
      </c>
      <c r="B4" s="15">
        <v>217.05570570000003</v>
      </c>
      <c r="C4" s="15">
        <v>-35.230939799999994</v>
      </c>
      <c r="D4" s="15">
        <v>-364.65358557600007</v>
      </c>
      <c r="E4" s="15">
        <v>-620.08510159466016</v>
      </c>
      <c r="F4" s="15">
        <v>-52.873200499999996</v>
      </c>
      <c r="G4" s="15">
        <v>-1037.6118876706605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74A3-BC46-48DC-B0B3-C72488E42AF1}">
  <sheetPr codeName="Sheet8"/>
  <dimension ref="A1:J8"/>
  <sheetViews>
    <sheetView workbookViewId="0">
      <selection activeCell="D14" sqref="D14"/>
    </sheetView>
  </sheetViews>
  <sheetFormatPr defaultRowHeight="14.4" x14ac:dyDescent="0.3"/>
  <cols>
    <col min="1" max="1" width="14.5546875" style="3" customWidth="1"/>
    <col min="2" max="2" width="14.5546875" customWidth="1"/>
    <col min="3" max="3" width="14.5546875" style="17" customWidth="1"/>
    <col min="4" max="4" width="14.5546875" style="15" customWidth="1"/>
    <col min="5" max="7" width="14.5546875" customWidth="1"/>
    <col min="8" max="8" width="14.5546875" style="3" customWidth="1"/>
    <col min="9" max="10" width="14.5546875" style="15" customWidth="1"/>
  </cols>
  <sheetData>
    <row r="1" spans="1:10" x14ac:dyDescent="0.3">
      <c r="A1" s="10" t="s">
        <v>0</v>
      </c>
      <c r="B1" s="11" t="s">
        <v>1</v>
      </c>
      <c r="C1" s="16" t="s">
        <v>8</v>
      </c>
      <c r="D1" s="14" t="s">
        <v>2</v>
      </c>
      <c r="E1" s="12" t="s">
        <v>7</v>
      </c>
      <c r="F1" s="9" t="s">
        <v>6</v>
      </c>
      <c r="G1" s="10" t="s">
        <v>5</v>
      </c>
      <c r="H1" s="10" t="s">
        <v>24</v>
      </c>
      <c r="I1" s="14" t="s">
        <v>23</v>
      </c>
      <c r="J1" s="14" t="s">
        <v>25</v>
      </c>
    </row>
    <row r="2" spans="1:10" x14ac:dyDescent="0.3">
      <c r="A2" s="3">
        <v>44459.521377314813</v>
      </c>
      <c r="B2" t="s">
        <v>22</v>
      </c>
      <c r="C2" s="17">
        <v>-50000</v>
      </c>
      <c r="D2" s="15">
        <v>79.5</v>
      </c>
      <c r="H2" s="3">
        <v>44461.771701388891</v>
      </c>
      <c r="I2" s="15">
        <v>78.994</v>
      </c>
      <c r="J2" s="15">
        <v>25500</v>
      </c>
    </row>
    <row r="3" spans="1:10" x14ac:dyDescent="0.3">
      <c r="A3" s="3">
        <v>44459.49931712963</v>
      </c>
      <c r="B3" t="s">
        <v>21</v>
      </c>
      <c r="C3" s="17">
        <v>10000</v>
      </c>
      <c r="D3" s="15">
        <v>1755.73</v>
      </c>
      <c r="H3" s="3">
        <v>44462.574259259258</v>
      </c>
      <c r="I3" s="15">
        <v>1764.52</v>
      </c>
      <c r="J3" s="15">
        <v>87899.999999999985</v>
      </c>
    </row>
    <row r="4" spans="1:10" x14ac:dyDescent="0.3">
      <c r="A4" s="3">
        <v>44462.590578703705</v>
      </c>
      <c r="B4" t="s">
        <v>29</v>
      </c>
      <c r="C4" s="17">
        <v>-20000</v>
      </c>
      <c r="D4" s="15">
        <v>87.138999999999996</v>
      </c>
      <c r="H4" s="3">
        <v>44466.489907407406</v>
      </c>
      <c r="I4" s="15">
        <v>86.83</v>
      </c>
      <c r="J4" s="15">
        <v>6200</v>
      </c>
    </row>
    <row r="5" spans="1:10" x14ac:dyDescent="0.3">
      <c r="A5" s="3">
        <v>44462.591643518521</v>
      </c>
      <c r="B5" t="s">
        <v>30</v>
      </c>
      <c r="C5" s="17">
        <v>20000</v>
      </c>
      <c r="D5" s="15">
        <v>1.2644</v>
      </c>
      <c r="H5" s="3">
        <v>44466.493310185186</v>
      </c>
      <c r="I5" s="15">
        <v>1.2654000000000001</v>
      </c>
      <c r="J5" s="15">
        <v>0</v>
      </c>
    </row>
    <row r="6" spans="1:10" x14ac:dyDescent="0.3">
      <c r="A6" s="3">
        <v>44466.506111111114</v>
      </c>
      <c r="B6" t="s">
        <v>32</v>
      </c>
      <c r="C6" s="17">
        <v>-30000</v>
      </c>
      <c r="D6" s="15">
        <v>84.991299999999995</v>
      </c>
      <c r="H6" s="3">
        <v>44466.658009259256</v>
      </c>
      <c r="I6" s="15">
        <v>84.767700000000005</v>
      </c>
      <c r="J6" s="15">
        <v>6600</v>
      </c>
    </row>
    <row r="7" spans="1:10" x14ac:dyDescent="0.3">
      <c r="A7" s="3">
        <v>44459.614201388889</v>
      </c>
      <c r="B7" t="s">
        <v>21</v>
      </c>
      <c r="C7" s="17">
        <v>30000</v>
      </c>
      <c r="D7" s="15">
        <v>1765.99</v>
      </c>
      <c r="H7" s="3">
        <v>44469.649212962962</v>
      </c>
      <c r="I7" s="15">
        <v>1762.3</v>
      </c>
      <c r="J7" s="15">
        <v>-110700</v>
      </c>
    </row>
    <row r="8" spans="1:10" x14ac:dyDescent="0.3">
      <c r="A8" s="3">
        <v>44473.562685185185</v>
      </c>
      <c r="B8" t="s">
        <v>22</v>
      </c>
      <c r="C8" s="17">
        <v>15000</v>
      </c>
      <c r="D8" s="15">
        <v>80.989999999999995</v>
      </c>
      <c r="H8" s="3">
        <v>44475.796597222223</v>
      </c>
      <c r="I8" s="15">
        <v>81.271000000000001</v>
      </c>
      <c r="J8" s="15">
        <v>4200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FE61F-4FCF-4666-A46F-2E4BE3CD82F7}">
  <sheetPr codeName="Sheet3"/>
  <dimension ref="A1:I8"/>
  <sheetViews>
    <sheetView zoomScaleNormal="100" workbookViewId="0">
      <selection activeCell="F7" sqref="F7"/>
    </sheetView>
  </sheetViews>
  <sheetFormatPr defaultRowHeight="14.4" x14ac:dyDescent="0.3"/>
  <cols>
    <col min="1" max="1" width="15.88671875" style="3" customWidth="1"/>
    <col min="2" max="2" width="20" style="4" customWidth="1"/>
    <col min="3" max="3" width="17.77734375" style="17" customWidth="1"/>
    <col min="4" max="4" width="20.88671875" style="15" customWidth="1"/>
    <col min="5" max="5" width="12.21875" customWidth="1"/>
    <col min="6" max="6" width="15.77734375" style="15" customWidth="1"/>
    <col min="7" max="7" width="13.6640625" style="3" customWidth="1"/>
    <col min="8" max="8" width="14.33203125" style="15" customWidth="1"/>
    <col min="9" max="9" width="18.44140625" style="17" customWidth="1"/>
  </cols>
  <sheetData>
    <row r="1" spans="1:9" x14ac:dyDescent="0.3">
      <c r="A1" s="10" t="s">
        <v>0</v>
      </c>
      <c r="B1" s="11" t="s">
        <v>1</v>
      </c>
      <c r="C1" s="16" t="s">
        <v>8</v>
      </c>
      <c r="D1" s="14" t="s">
        <v>2</v>
      </c>
      <c r="E1" s="8" t="s">
        <v>7</v>
      </c>
      <c r="F1" s="14" t="s">
        <v>6</v>
      </c>
      <c r="G1" s="10" t="s">
        <v>5</v>
      </c>
      <c r="H1" s="14" t="s">
        <v>23</v>
      </c>
      <c r="I1" s="16" t="s">
        <v>31</v>
      </c>
    </row>
    <row r="2" spans="1:9" x14ac:dyDescent="0.3">
      <c r="A2" s="3">
        <v>44461.751666666663</v>
      </c>
      <c r="B2" s="4" t="s">
        <v>26</v>
      </c>
      <c r="C2" s="17">
        <v>500</v>
      </c>
      <c r="D2" s="15">
        <v>5.59</v>
      </c>
      <c r="E2" t="s">
        <v>27</v>
      </c>
      <c r="F2" s="15">
        <v>220</v>
      </c>
      <c r="G2" s="3">
        <v>44484.166666666664</v>
      </c>
    </row>
    <row r="3" spans="1:9" ht="14.4" customHeight="1" x14ac:dyDescent="0.3">
      <c r="A3" s="3">
        <v>44461.751666666663</v>
      </c>
      <c r="B3" s="4" t="s">
        <v>26</v>
      </c>
      <c r="C3" s="17">
        <v>-500</v>
      </c>
      <c r="D3" s="15">
        <v>11.24</v>
      </c>
      <c r="E3" t="s">
        <v>27</v>
      </c>
      <c r="F3" s="15">
        <v>230</v>
      </c>
      <c r="G3" s="3">
        <v>44484.166666666664</v>
      </c>
    </row>
    <row r="4" spans="1:9" ht="14.4" customHeight="1" x14ac:dyDescent="0.3">
      <c r="A4" s="3">
        <v>44468.819895833331</v>
      </c>
      <c r="B4" s="4" t="s">
        <v>33</v>
      </c>
      <c r="C4" s="17">
        <v>-1000000</v>
      </c>
      <c r="D4" s="15">
        <v>1.0217779999999999E-2</v>
      </c>
      <c r="E4" t="s">
        <v>34</v>
      </c>
      <c r="F4" s="15">
        <v>0.87</v>
      </c>
      <c r="G4" s="3">
        <v>44560</v>
      </c>
    </row>
    <row r="5" spans="1:9" ht="14.4" customHeight="1" x14ac:dyDescent="0.3">
      <c r="A5" s="3">
        <v>44468.819895833331</v>
      </c>
      <c r="B5" s="4" t="s">
        <v>33</v>
      </c>
      <c r="C5" s="17">
        <v>-1000000</v>
      </c>
      <c r="D5" s="15">
        <v>3.3080000000000002E-3</v>
      </c>
      <c r="E5" t="s">
        <v>27</v>
      </c>
      <c r="F5" s="15">
        <v>0.84499999999999997</v>
      </c>
      <c r="G5" s="3">
        <v>44560</v>
      </c>
    </row>
    <row r="6" spans="1:9" x14ac:dyDescent="0.3">
      <c r="A6" s="3">
        <v>44474.626956018517</v>
      </c>
      <c r="B6" s="4" t="s">
        <v>38</v>
      </c>
      <c r="C6" s="17">
        <v>1000</v>
      </c>
      <c r="D6" s="15">
        <v>49.93</v>
      </c>
    </row>
    <row r="7" spans="1:9" x14ac:dyDescent="0.3">
      <c r="A7" s="3">
        <v>44475.780347222222</v>
      </c>
      <c r="B7" s="4" t="s">
        <v>26</v>
      </c>
      <c r="C7" s="17">
        <v>500</v>
      </c>
      <c r="D7" s="15">
        <v>0.04</v>
      </c>
      <c r="E7" t="s">
        <v>34</v>
      </c>
      <c r="F7" s="15">
        <v>240</v>
      </c>
      <c r="G7" s="3">
        <v>44484</v>
      </c>
    </row>
    <row r="8" spans="1:9" x14ac:dyDescent="0.3">
      <c r="A8" s="3">
        <v>44475.780347222222</v>
      </c>
      <c r="B8" s="4" t="s">
        <v>26</v>
      </c>
      <c r="C8" s="17">
        <v>-500</v>
      </c>
      <c r="D8" s="15">
        <v>0.31</v>
      </c>
      <c r="E8" t="s">
        <v>34</v>
      </c>
      <c r="F8" s="15">
        <v>230</v>
      </c>
      <c r="G8" s="3">
        <v>44484</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9E94-4B1E-4250-B029-297E788FAC67}">
  <sheetPr codeName="Sheet4"/>
  <dimension ref="A1:V32"/>
  <sheetViews>
    <sheetView zoomScaleNormal="100" workbookViewId="0">
      <selection activeCell="I19" sqref="I19"/>
    </sheetView>
  </sheetViews>
  <sheetFormatPr defaultRowHeight="14.4" x14ac:dyDescent="0.3"/>
  <cols>
    <col min="2" max="2" width="10.44140625" style="17" customWidth="1"/>
    <col min="3" max="3" width="16.5546875" style="15" customWidth="1"/>
    <col min="5" max="5" width="8.88671875" style="15"/>
    <col min="6" max="6" width="11.33203125" customWidth="1"/>
    <col min="7" max="7" width="10.5546875" style="5" bestFit="1" customWidth="1"/>
    <col min="8" max="8" width="10.5546875" bestFit="1" customWidth="1"/>
    <col min="9" max="9" width="10.88671875" customWidth="1"/>
    <col min="10" max="10" width="10.5546875" bestFit="1" customWidth="1"/>
    <col min="11" max="11" width="8.88671875" style="20"/>
    <col min="12" max="12" width="10.5546875" bestFit="1" customWidth="1"/>
  </cols>
  <sheetData>
    <row r="1" spans="1:22" x14ac:dyDescent="0.3">
      <c r="A1" s="12" t="s">
        <v>1</v>
      </c>
      <c r="B1" s="16" t="s">
        <v>8</v>
      </c>
      <c r="C1" s="14" t="s">
        <v>2</v>
      </c>
      <c r="D1" s="12" t="s">
        <v>7</v>
      </c>
      <c r="E1" s="14" t="s">
        <v>6</v>
      </c>
      <c r="F1" s="12" t="s">
        <v>5</v>
      </c>
      <c r="G1" s="6"/>
      <c r="H1" s="9" t="s">
        <v>1</v>
      </c>
      <c r="I1" s="13" t="s">
        <v>0</v>
      </c>
      <c r="J1" s="12" t="s">
        <v>7</v>
      </c>
      <c r="K1" s="19" t="s">
        <v>6</v>
      </c>
      <c r="L1" s="12" t="s">
        <v>5</v>
      </c>
    </row>
    <row r="2" spans="1:22" x14ac:dyDescent="0.3">
      <c r="F2" s="3"/>
      <c r="H2" s="5"/>
      <c r="I2" s="3"/>
      <c r="J2" s="2"/>
      <c r="L2" s="3"/>
    </row>
    <row r="3" spans="1:22" x14ac:dyDescent="0.3">
      <c r="F3" s="3"/>
      <c r="H3" s="5"/>
      <c r="I3" s="3"/>
    </row>
    <row r="4" spans="1:22" x14ac:dyDescent="0.3">
      <c r="H4" s="5"/>
    </row>
    <row r="5" spans="1:22" ht="14.4" customHeight="1" x14ac:dyDescent="0.3">
      <c r="H5" s="5"/>
    </row>
    <row r="6" spans="1:22" x14ac:dyDescent="0.3">
      <c r="H6" s="5"/>
    </row>
    <row r="7" spans="1:22" x14ac:dyDescent="0.3">
      <c r="H7" s="5"/>
    </row>
    <row r="8" spans="1:22" x14ac:dyDescent="0.3">
      <c r="H8" s="5"/>
    </row>
    <row r="9" spans="1:22" ht="14.4" customHeight="1" x14ac:dyDescent="0.3">
      <c r="H9" s="5"/>
    </row>
    <row r="10" spans="1:22" x14ac:dyDescent="0.3">
      <c r="H10" s="5"/>
    </row>
    <row r="11" spans="1:22" x14ac:dyDescent="0.3">
      <c r="H11" s="5"/>
    </row>
    <row r="12" spans="1:22" ht="14.4" customHeight="1" x14ac:dyDescent="0.3">
      <c r="H12" s="5"/>
    </row>
    <row r="13" spans="1:22" x14ac:dyDescent="0.3">
      <c r="H13" s="5"/>
    </row>
    <row r="14" spans="1:22" x14ac:dyDescent="0.3">
      <c r="H14" s="5"/>
      <c r="Q14" s="7"/>
      <c r="R14" s="7"/>
      <c r="S14" s="7"/>
      <c r="T14" s="7"/>
      <c r="U14" s="7"/>
      <c r="V14" s="7"/>
    </row>
    <row r="15" spans="1:22" x14ac:dyDescent="0.3">
      <c r="H15" s="5"/>
    </row>
    <row r="16" spans="1:22" x14ac:dyDescent="0.3">
      <c r="H16" s="5"/>
    </row>
    <row r="17" spans="3:8" x14ac:dyDescent="0.3">
      <c r="H17" s="5"/>
    </row>
    <row r="18" spans="3:8" x14ac:dyDescent="0.3">
      <c r="H18" s="5"/>
    </row>
    <row r="19" spans="3:8" x14ac:dyDescent="0.3">
      <c r="H19" s="5"/>
    </row>
    <row r="20" spans="3:8" x14ac:dyDescent="0.3">
      <c r="C20" s="14"/>
      <c r="D20" s="10"/>
      <c r="H20" s="5"/>
    </row>
    <row r="21" spans="3:8" x14ac:dyDescent="0.3">
      <c r="D21" s="3"/>
      <c r="H21" s="5"/>
    </row>
    <row r="22" spans="3:8" x14ac:dyDescent="0.3">
      <c r="H22" s="5"/>
    </row>
    <row r="23" spans="3:8" x14ac:dyDescent="0.3">
      <c r="H23" s="5"/>
    </row>
    <row r="24" spans="3:8" x14ac:dyDescent="0.3">
      <c r="H24" s="5"/>
    </row>
    <row r="25" spans="3:8" x14ac:dyDescent="0.3">
      <c r="H25" s="5"/>
    </row>
    <row r="26" spans="3:8" x14ac:dyDescent="0.3">
      <c r="H26" s="5"/>
    </row>
    <row r="27" spans="3:8" x14ac:dyDescent="0.3">
      <c r="H27" s="5"/>
    </row>
    <row r="28" spans="3:8" x14ac:dyDescent="0.3">
      <c r="H28" s="5"/>
    </row>
    <row r="29" spans="3:8" x14ac:dyDescent="0.3">
      <c r="H29" s="5"/>
    </row>
    <row r="30" spans="3:8" x14ac:dyDescent="0.3">
      <c r="H30" s="5"/>
    </row>
    <row r="31" spans="3:8" x14ac:dyDescent="0.3">
      <c r="H31" s="5"/>
    </row>
    <row r="32" spans="3:8" x14ac:dyDescent="0.3">
      <c r="H32" s="5"/>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EE90-3EB4-4196-A288-82414D4B23BD}">
  <sheetPr codeName="Sheet6"/>
  <dimension ref="A1:B3"/>
  <sheetViews>
    <sheetView workbookViewId="0">
      <selection activeCell="O14" sqref="O14"/>
    </sheetView>
  </sheetViews>
  <sheetFormatPr defaultRowHeight="14.4" x14ac:dyDescent="0.3"/>
  <cols>
    <col min="1" max="1" width="11.5546875" customWidth="1"/>
    <col min="2" max="2" width="10.88671875" customWidth="1"/>
  </cols>
  <sheetData>
    <row r="1" spans="1:2" x14ac:dyDescent="0.3">
      <c r="A1" s="13"/>
      <c r="B1" s="13"/>
    </row>
    <row r="2" spans="1:2" x14ac:dyDescent="0.3">
      <c r="A2" s="3"/>
      <c r="B2" s="3"/>
    </row>
    <row r="3" spans="1:2" x14ac:dyDescent="0.3">
      <c r="A3" s="3"/>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C0828-0934-4089-823A-BBE61CD4C910}">
  <sheetPr codeName="Sheet1"/>
  <dimension ref="M4:S18"/>
  <sheetViews>
    <sheetView zoomScaleNormal="100" workbookViewId="0">
      <selection activeCell="L23" sqref="L23"/>
    </sheetView>
  </sheetViews>
  <sheetFormatPr defaultRowHeight="14.4" x14ac:dyDescent="0.3"/>
  <cols>
    <col min="14" max="14" width="11.44140625" style="17" customWidth="1"/>
    <col min="15" max="15" width="11.33203125" style="17" customWidth="1"/>
    <col min="16" max="16" width="11.109375" style="17" customWidth="1"/>
    <col min="17" max="17" width="15.44140625" style="17" customWidth="1"/>
    <col min="18" max="18" width="12" style="17" customWidth="1"/>
    <col min="19" max="19" width="12.5546875" style="17" customWidth="1"/>
  </cols>
  <sheetData>
    <row r="4" spans="13:19" x14ac:dyDescent="0.3">
      <c r="M4" s="22" t="s">
        <v>39</v>
      </c>
      <c r="N4" s="22"/>
      <c r="O4" s="12"/>
      <c r="P4" s="23">
        <v>44477</v>
      </c>
    </row>
    <row r="5" spans="13:19" x14ac:dyDescent="0.3">
      <c r="N5"/>
    </row>
    <row r="6" spans="13:19" x14ac:dyDescent="0.3">
      <c r="M6" s="22" t="s">
        <v>40</v>
      </c>
      <c r="N6" s="22"/>
      <c r="O6" s="12"/>
      <c r="P6" t="s">
        <v>26</v>
      </c>
    </row>
    <row r="15" spans="13:19" x14ac:dyDescent="0.3">
      <c r="M15" s="12" t="s">
        <v>1</v>
      </c>
      <c r="N15" s="16" t="s">
        <v>20</v>
      </c>
      <c r="O15" s="16" t="s">
        <v>17</v>
      </c>
      <c r="P15" s="16" t="s">
        <v>28</v>
      </c>
      <c r="Q15" s="16" t="s">
        <v>18</v>
      </c>
      <c r="R15" s="16" t="s">
        <v>19</v>
      </c>
      <c r="S15" s="16" t="s">
        <v>37</v>
      </c>
    </row>
    <row r="16" spans="13:19" x14ac:dyDescent="0.3">
      <c r="M16" t="s">
        <v>38</v>
      </c>
      <c r="N16" s="17">
        <v>190</v>
      </c>
      <c r="O16" s="17">
        <v>1000</v>
      </c>
      <c r="P16" s="17">
        <v>190</v>
      </c>
      <c r="Q16" s="17">
        <v>0</v>
      </c>
      <c r="R16" s="17">
        <v>0</v>
      </c>
      <c r="S16" s="17">
        <v>0</v>
      </c>
    </row>
    <row r="17" spans="13:19" x14ac:dyDescent="0.3">
      <c r="M17" t="s">
        <v>33</v>
      </c>
      <c r="N17" s="17">
        <v>5867.3379757772918</v>
      </c>
      <c r="O17" s="17">
        <v>170717.00725349435</v>
      </c>
      <c r="P17" s="17">
        <v>257.7826809527765</v>
      </c>
      <c r="Q17" s="17">
        <v>-440.59017045806206</v>
      </c>
      <c r="R17" s="17">
        <v>5521.2393330732993</v>
      </c>
      <c r="S17" s="17">
        <v>88.315961751215212</v>
      </c>
    </row>
    <row r="18" spans="13:19" x14ac:dyDescent="0.3">
      <c r="M18" t="s">
        <v>26</v>
      </c>
      <c r="N18" s="17">
        <v>-1037.6118876706605</v>
      </c>
      <c r="O18" s="17">
        <v>217.05570570000003</v>
      </c>
      <c r="P18" s="17">
        <v>-364.65358557600007</v>
      </c>
      <c r="Q18" s="17">
        <v>-35.230939799999994</v>
      </c>
      <c r="R18" s="17">
        <v>-620.08510159466016</v>
      </c>
      <c r="S18" s="17">
        <v>-52.873200499999996</v>
      </c>
    </row>
  </sheetData>
  <mergeCells count="2">
    <mergeCell ref="M4:N4"/>
    <mergeCell ref="M6:N6"/>
  </mergeCells>
  <dataValidations count="1">
    <dataValidation type="list" allowBlank="1" showInputMessage="1" showErrorMessage="1" sqref="P6" xr:uid="{78EA4470-DC8E-451B-87F4-3BD8FEBD0CC8}">
      <formula1>"EEM,EURGBP,IWM"</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9186340-B2C6-463E-AB38-CB8AB7EB036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Control</vt:lpstr>
      <vt:lpstr>Summary</vt:lpstr>
      <vt:lpstr>Flash</vt:lpstr>
      <vt:lpstr>Past_Transactions</vt:lpstr>
      <vt:lpstr>Open_Transactions</vt:lpstr>
      <vt:lpstr>Insert_Update</vt:lpstr>
      <vt:lpstr>Delete</vt:lpstr>
      <vt:lpstr>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Kimberly Zhang</dc:creator>
  <cp:lastModifiedBy>Kimberly Zhang</cp:lastModifiedBy>
  <dcterms:created xsi:type="dcterms:W3CDTF">2020-12-22T16:22:33Z</dcterms:created>
  <dcterms:modified xsi:type="dcterms:W3CDTF">2021-10-09T15:38:23Z</dcterms:modified>
</cp:coreProperties>
</file>